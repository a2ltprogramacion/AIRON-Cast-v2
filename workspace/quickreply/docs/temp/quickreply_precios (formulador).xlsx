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3 Multi " sheetId="1" r:id="rId5"/>
    <sheet state="visible" name="G3 Multi - Ajuste" sheetId="2" r:id="rId6"/>
    <sheet state="visible" name="Datos" sheetId="3" r:id="rId7"/>
    <sheet state="visible" name="Roccia" sheetId="4" r:id="rId8"/>
    <sheet state="visible" name="Pagos" sheetId="5" r:id="rId9"/>
  </sheets>
  <definedNames>
    <definedName hidden="1" localSheetId="0" name="_xlnm._FilterDatabase">'G3 Multi '!$A$1:$K$517</definedName>
    <definedName hidden="1" localSheetId="1" name="_xlnm._FilterDatabase">'G3 Multi - Ajuste'!$A$1:$Y$517</definedName>
    <definedName hidden="1" localSheetId="3" name="_xlnm._FilterDatabase">Roccia!$A$1:$D$517</definedName>
  </definedNames>
  <calcPr/>
</workbook>
</file>

<file path=xl/sharedStrings.xml><?xml version="1.0" encoding="utf-8"?>
<sst xmlns="http://schemas.openxmlformats.org/spreadsheetml/2006/main" count="3612" uniqueCount="849">
  <si>
    <t>TIPO</t>
  </si>
  <si>
    <t>CODIGO</t>
  </si>
  <si>
    <t>PRODUCTO</t>
  </si>
  <si>
    <t>PRECIO $
Publicado</t>
  </si>
  <si>
    <t>PRECIO $
BCV Pub.</t>
  </si>
  <si>
    <r>
      <rPr>
        <rFont val="Calibri, sans-serif"/>
        <b/>
        <color rgb="FF000000"/>
        <sz val="11.0"/>
      </rPr>
      <t xml:space="preserve">PRECIO $ </t>
    </r>
    <r>
      <rPr>
        <rFont val="Calibri, sans-serif"/>
        <b val="0"/>
        <color rgb="FF000000"/>
        <sz val="11.0"/>
      </rPr>
      <t>G3Multi</t>
    </r>
  </si>
  <si>
    <r>
      <rPr>
        <rFont val="Calibri, sans-serif"/>
        <b/>
        <color rgb="FF000000"/>
        <sz val="11.0"/>
      </rPr>
      <t xml:space="preserve">PRECIO $ </t>
    </r>
    <r>
      <rPr>
        <rFont val="Calibri, sans-serif"/>
        <b val="0"/>
        <color rgb="FF000000"/>
        <sz val="11.0"/>
      </rPr>
      <t>BCV</t>
    </r>
  </si>
  <si>
    <t>PRECIO Bs.</t>
  </si>
  <si>
    <t>UTILIDAD</t>
  </si>
  <si>
    <t>P. VENTA UTIL.</t>
  </si>
  <si>
    <t>diff.</t>
  </si>
  <si>
    <t>K001</t>
  </si>
  <si>
    <t>JUEGO DE OLLAS DE GRANITO ANTIADHERENTE 12 PIEZAS DE LUJO NERO ROCCIA</t>
  </si>
  <si>
    <t>ARTÍCULOS DE COCINA</t>
  </si>
  <si>
    <t>K003</t>
  </si>
  <si>
    <t>JUEGO DE SARTENES 3 PIEZAS NERO MARCA ROCCIA</t>
  </si>
  <si>
    <t>K004</t>
  </si>
  <si>
    <t>WOK DE 28CM CON TAPA DE CRISTAL MARCA ROCCIA</t>
  </si>
  <si>
    <t>K005</t>
  </si>
  <si>
    <t>JUEGO DE OLLAS GRANITE 14 PIEZAS MARCA ROCCIA</t>
  </si>
  <si>
    <t>K006</t>
  </si>
  <si>
    <t>BUDARE 28CM CUADRADO NERO MARCA ROCCIA</t>
  </si>
  <si>
    <t>K007G</t>
  </si>
  <si>
    <t>JUEGO DE UTENSILIOS DE COCINA 12 PIEZAS SILICONE ANTIRAYA GRIS</t>
  </si>
  <si>
    <t>K007V</t>
  </si>
  <si>
    <t>JUEGO DE UTENSILIOS DE COCINA 12 PIEZAS SILICONE ANTIRAYA VERDE</t>
  </si>
  <si>
    <t>K007N</t>
  </si>
  <si>
    <t>JUEGO DE UTENSILIOS DE COCINA 12 PIEZAS SILICONE ANTIRAYA NEGRO</t>
  </si>
  <si>
    <t>K007B</t>
  </si>
  <si>
    <t>JUEGO DE UTENSILIOS DE COCINA 12 PIEZAS SILICONE ANTIRAYA BEIGE</t>
  </si>
  <si>
    <t>K008</t>
  </si>
  <si>
    <t>JUEGO DE 7 CUCHILLOS DE ALTA GAMA MARCA ROCCIA</t>
  </si>
  <si>
    <t>K009</t>
  </si>
  <si>
    <t>JUEGO DE 5 CUCHILLOS DE ACERO INOXIDABLE</t>
  </si>
  <si>
    <t>K010</t>
  </si>
  <si>
    <t>SET DE OLLAS DILUSSO 8 PIEZAS DE ACERO INOXIDABLE MARCA ROCCIA</t>
  </si>
  <si>
    <t>K011</t>
  </si>
  <si>
    <t>JUEGO DE OLLAS GRANITE GRIS 14 PIEZAS EURO-14SET MARCA ROCCIA</t>
  </si>
  <si>
    <t>K012</t>
  </si>
  <si>
    <t>JUEGO DE OLLAS Di'ROCCA NEGRO 10 PIEZAS ALTA GAMA OF25-10PCS</t>
  </si>
  <si>
    <t>K013</t>
  </si>
  <si>
    <t>JUEGO DE OLLAS Di'ROCCA BLANCO 10 PIEZAS ALTA GAMA OF26-10PCS</t>
  </si>
  <si>
    <t>ARTICULOS PARA PISCINAS</t>
  </si>
  <si>
    <t>B029L</t>
  </si>
  <si>
    <t>LAMPARA LED PARA PISCINA 29.2*7CM CON BORDE 12W/12V YC292-A</t>
  </si>
  <si>
    <t>B030L</t>
  </si>
  <si>
    <t>LAMPARA LED PARA PISCINA 29.5*7CM BORDE INFINITO 12W/12V YC295-2A</t>
  </si>
  <si>
    <t>B031L</t>
  </si>
  <si>
    <t>LAMPARA LED PARA PISCINA 23*4.8CM 12W/12V YC230-2A</t>
  </si>
  <si>
    <t>B032L</t>
  </si>
  <si>
    <t>LAMPARA LED PARA PISCINA 23*4.8CM 12W/12V YC230-SW</t>
  </si>
  <si>
    <t>B033L</t>
  </si>
  <si>
    <t>LAMPARA LED PARA PISCINA 30*7CM 18W/12V YC300-SW</t>
  </si>
  <si>
    <t>B034L</t>
  </si>
  <si>
    <t>ASPIRADORA DE PISCINAS RECARGABLE 2000MAH 40W RPC403 MARCA ROCCIA</t>
  </si>
  <si>
    <t>B035L</t>
  </si>
  <si>
    <t>CLORIFICADOR SALINO INTELIGENTE 25g/h PARA PISCINAS LC250A</t>
  </si>
  <si>
    <t>B036L</t>
  </si>
  <si>
    <t>CLORIFICADOR SALINO INTELIGENTE 30g/h PARA PISCINAS LC300A</t>
  </si>
  <si>
    <t>B037L</t>
  </si>
  <si>
    <t>CLORIFICADOR SALINO INTELIGENTE 40g/h PARA PISCINAS LC400A</t>
  </si>
  <si>
    <t>B038L</t>
  </si>
  <si>
    <t>CLORIFICADOR SALINO INTELIGENTE 50g/h PARA PISCINAS LC500A</t>
  </si>
  <si>
    <t>BALANZAS</t>
  </si>
  <si>
    <t>P001</t>
  </si>
  <si>
    <t>BALANZA DE 40 KG</t>
  </si>
  <si>
    <t>P003</t>
  </si>
  <si>
    <t>BALANZA DE 7 KG</t>
  </si>
  <si>
    <t>P011</t>
  </si>
  <si>
    <t>ROMANA DE 200 KG</t>
  </si>
  <si>
    <t>P012</t>
  </si>
  <si>
    <t>ROMANA DE 350 KG</t>
  </si>
  <si>
    <t>P013</t>
  </si>
  <si>
    <t>ROMANA DE 700 KG</t>
  </si>
  <si>
    <t>P014</t>
  </si>
  <si>
    <t>ROMANA WIFI 300 KG</t>
  </si>
  <si>
    <t>P016</t>
  </si>
  <si>
    <t>ROMANA DE 3T 1*1</t>
  </si>
  <si>
    <t>P017</t>
  </si>
  <si>
    <t>ROMANA DE 3T 1,20*1,20</t>
  </si>
  <si>
    <t>P018</t>
  </si>
  <si>
    <t>ROMANA DE 3T 1,50*2</t>
  </si>
  <si>
    <t>P019</t>
  </si>
  <si>
    <t>BALANZA DE GANCHO RECARGABLE 50KG GOOD QUALITY YZ-S03</t>
  </si>
  <si>
    <t>P020</t>
  </si>
  <si>
    <t>BALANZA DE COCINA 3KG GOOD QUALITY X1-C3B</t>
  </si>
  <si>
    <t>P021</t>
  </si>
  <si>
    <t>BALANZA DE MOSTRADOR CAP 30KG DE ALTA PRECISION 905</t>
  </si>
  <si>
    <t>P021S</t>
  </si>
  <si>
    <t>BALANZA DE MOSTRADOR CAP 30KG DE ALTA PRECISION 905 CON SENCAMER</t>
  </si>
  <si>
    <t>P022</t>
  </si>
  <si>
    <t>BALANZA DE MOSTRADOR CON SU VISOR CAP 30KG DE ALTA PRECISION 905ARM</t>
  </si>
  <si>
    <t>P023</t>
  </si>
  <si>
    <t>ROMANA CAP 200KG DE ALTA PRECISION 616D</t>
  </si>
  <si>
    <t>P024</t>
  </si>
  <si>
    <t>ROMANA CAP 300KG DE ALTA PRECISION 617D</t>
  </si>
  <si>
    <t>P025</t>
  </si>
  <si>
    <t>ROMANA CAP 400KG DE ALTA PRECISION 618D</t>
  </si>
  <si>
    <t>P026</t>
  </si>
  <si>
    <t>ROMANA DE ACERO INOXIDABLE CAP 200KG DE ALTA PRECISION RS-809</t>
  </si>
  <si>
    <t>P027</t>
  </si>
  <si>
    <t>ROMANA DE ACERO INOXIDABLE CAP 300KG DE ALTA PRECISION RS-810</t>
  </si>
  <si>
    <t>P028</t>
  </si>
  <si>
    <t>ROMANA DE ACERO INOXIDABLE CAP 400KG DE ALTA PRECISION RS-811</t>
  </si>
  <si>
    <t>P029</t>
  </si>
  <si>
    <t>BALANZA MOSTRADOR ANTI-INSECTOS MODELO 969S</t>
  </si>
  <si>
    <t>P029S</t>
  </si>
  <si>
    <t>BALANZA MOSTRADOR ANTI-INSECTOS MODELO 969S CON SENCAMER</t>
  </si>
  <si>
    <t>P030</t>
  </si>
  <si>
    <t>BALANZA DE MOSTRADOR 30KG ETIQUETADORA CON SENCAMER ROP-30 ROCCIA</t>
  </si>
  <si>
    <t>BOMBAS DE AGUA</t>
  </si>
  <si>
    <t>B001</t>
  </si>
  <si>
    <t>BOMBA DE AGUA 1/2 HP</t>
  </si>
  <si>
    <t>B001C</t>
  </si>
  <si>
    <t>BOMBA DE AGUA DE 1/2HP PERIFÉRICA 110V ALTA GAMA 100% COBRE MARCA ROCCIA</t>
  </si>
  <si>
    <t>B002</t>
  </si>
  <si>
    <t>BOMBA DE AGUA 3/4 HP</t>
  </si>
  <si>
    <t>B002C</t>
  </si>
  <si>
    <t>BOMBA DE AGUA DE 3/4HP PERIFÉRICA 110V ALTA GAMA 100% COBRE MARCA ROCCIA</t>
  </si>
  <si>
    <t>B003</t>
  </si>
  <si>
    <t>BOMBA DE AGUA 1 HP</t>
  </si>
  <si>
    <t>B003C</t>
  </si>
  <si>
    <t>BOMBA DE AGUA DE 1HP PERIFÉRICA 110V ALTA GAMA 100% COBRE MARCA ROCCIA</t>
  </si>
  <si>
    <t>B004</t>
  </si>
  <si>
    <t>BOMBA DE AGUA DE 2HP PERIFERICA AUTOCEBANTE TIPO JET 220V JET-200A MARCA ROCCIA</t>
  </si>
  <si>
    <t>B005</t>
  </si>
  <si>
    <t>PRESS CONTROL INTELIGENTE</t>
  </si>
  <si>
    <t>B006</t>
  </si>
  <si>
    <t>PURIFICADOR DE AGUA INTELIGENTE OSMOSIS INVERSA 96W 1,58L/M RO700P</t>
  </si>
  <si>
    <t>B007</t>
  </si>
  <si>
    <t>REPUESTO FILTRO DE AGUA PCT FILTRO</t>
  </si>
  <si>
    <t>B008</t>
  </si>
  <si>
    <t>REPUESTO FILTRO DE AGUA 600G RO MEMBRANA</t>
  </si>
  <si>
    <t>BOMBAS DE AGUA CENTRIFUGAS Y PISCINA</t>
  </si>
  <si>
    <t>B012C</t>
  </si>
  <si>
    <t>BOMBA DE AGUA CENTRIFUGA DE 1HP HCM158 110V</t>
  </si>
  <si>
    <t>B013C</t>
  </si>
  <si>
    <t>BOMBA DE AGUA CENTRIFUGA DE 1.5HP HCM180 110V</t>
  </si>
  <si>
    <t>B014C</t>
  </si>
  <si>
    <t>BOMBA DE AGUA CENTRIFUGA DE 2HP HCM190 220V</t>
  </si>
  <si>
    <t>B015C</t>
  </si>
  <si>
    <t>BOMBA DE AGUA CENTRIFUGA DE 3HP HCM200 220V</t>
  </si>
  <si>
    <t>B016C</t>
  </si>
  <si>
    <t>BOMBA CENTRIFUGA IMPULSOR TRIFASICA 4KW 5.5HP HST40-160/40</t>
  </si>
  <si>
    <t>B017C</t>
  </si>
  <si>
    <t>BOMBA CENTRIFUGA IMPULSOR TRIFASICA 5.5KW 7.5HP HST40-200/55</t>
  </si>
  <si>
    <t>B018C</t>
  </si>
  <si>
    <t>BOMBA CENTRIFUGA IMPULSOR TRIFASICA 7.5KW 10HP HST40-200/75</t>
  </si>
  <si>
    <t>B019C</t>
  </si>
  <si>
    <t>BOMBA CENTRIFUGA IMPULSOR TRIFASICA 15KW 20HP HST40-250/150</t>
  </si>
  <si>
    <t>B020C</t>
  </si>
  <si>
    <t>BOMBA CENTRIFUGA DOBLE IMPULSOR TRIFASICA 5.5KW 7.5HP HST32-250/55D</t>
  </si>
  <si>
    <t>B021C</t>
  </si>
  <si>
    <t>BOMBA CENTRIFUGA DOBLE IMPULSOR TRIFASICA 7.5KW 10HP HST32-250/75D</t>
  </si>
  <si>
    <t>B017P</t>
  </si>
  <si>
    <t>BOMBA DE AGUA DE 3/4HP DE PISCINAS HFC-552 220V MARCA ROCCIA</t>
  </si>
  <si>
    <t>B020P</t>
  </si>
  <si>
    <t>BOMBA DE AGUA PARA PISCINA DE 1.5HP NEW MODEL HFC-1101 220V</t>
  </si>
  <si>
    <t>B021P</t>
  </si>
  <si>
    <t>BOMBA DE AGUA PARA PISCINA DE 2.0HP NEW MODEL HFC-1501 220V</t>
  </si>
  <si>
    <t>B022P</t>
  </si>
  <si>
    <t>BOMBA DE AGUA PARA PISCINA DE 3.0HP NEW MODEL HFC-2201 220V</t>
  </si>
  <si>
    <t>B019AI</t>
  </si>
  <si>
    <t>BOMBA DE AGUA CENTRIFUGA CON IMPULSOR DE ACERO INOXIDABLE 1HP HCT-26S</t>
  </si>
  <si>
    <t>B023C</t>
  </si>
  <si>
    <t>MOTOBOMBA 2¨ A GASOLINA MARCA ROCCIA GOOD QUALITY</t>
  </si>
  <si>
    <t>B024C</t>
  </si>
  <si>
    <t>MOTOBOMBA 3¨ A GASOLINA MARCA ROCCIA GOOD QUALITY</t>
  </si>
  <si>
    <t>B001A</t>
  </si>
  <si>
    <t>BOMBA DE AGUA DE 1HP DE ACHIQUE WQD750-B MARCA ROCCIA</t>
  </si>
  <si>
    <t>BOMBAS DE AGUA SUMERGIBLES</t>
  </si>
  <si>
    <t>B006S</t>
  </si>
  <si>
    <t>BOMBA DE AGUA SUMERGIBLE DE 1/2HP 3SE2/9 110V</t>
  </si>
  <si>
    <t>B007S</t>
  </si>
  <si>
    <t>BOMBA DE AGUA SUMERGIBLE DE 1/2HP 3SE2/9 220V</t>
  </si>
  <si>
    <t>B008S</t>
  </si>
  <si>
    <t>BOMBA DE AGUA SUMERGIBLE DE 3/4HP 3SE2-13 220V</t>
  </si>
  <si>
    <t>B009S</t>
  </si>
  <si>
    <t>BOMBA DE AGUA SUMERGIBLE DE 1HP 3SE2-17 220V</t>
  </si>
  <si>
    <t>B010S</t>
  </si>
  <si>
    <t>BOMBA DE AGUA SUMERGIBLE DE 1.5HP 4SE3-13 220V</t>
  </si>
  <si>
    <t>B011S</t>
  </si>
  <si>
    <t>BOMBA DE AGUA SUMERGIBLE DE 2HP 4SE3-17 220V</t>
  </si>
  <si>
    <t>B012S</t>
  </si>
  <si>
    <t>BOMBA DE AGUA DE 5.5HP SUMERGIBLE TRIFÁSICA MARCA ROCCIA</t>
  </si>
  <si>
    <t>B014L</t>
  </si>
  <si>
    <t>BOMBA SUMERGIBLE TIPO LAPIZ DE 1/2HP 110V MARCA ROCCIA</t>
  </si>
  <si>
    <t>B015L</t>
  </si>
  <si>
    <t>BOMBA SUMERGIBLE TIPO LAPIZ DE 1/2HP 220V MARCA ROCCIA</t>
  </si>
  <si>
    <t>B016L</t>
  </si>
  <si>
    <t>BOMBA SUMERGIBLE TIPO LAPIZ DE 3/4HP 220V MARCA ROCCIA</t>
  </si>
  <si>
    <t>COCINAS Y RELACIONADOS</t>
  </si>
  <si>
    <t>C002</t>
  </si>
  <si>
    <t>COCINA BLANCA 2 H CARACOL</t>
  </si>
  <si>
    <t>C003</t>
  </si>
  <si>
    <t>COCINA CROMADA 2H CARACOL</t>
  </si>
  <si>
    <t>C010</t>
  </si>
  <si>
    <t>COCINA INFRARROJA</t>
  </si>
  <si>
    <t>C011</t>
  </si>
  <si>
    <t>OLLA DE PRESION ELECTRICA</t>
  </si>
  <si>
    <t>C012</t>
  </si>
  <si>
    <t>COCINA INFRARROJO 110V 2 HORNILLAS 2 EN 1 ROCCIA</t>
  </si>
  <si>
    <t>C013</t>
  </si>
  <si>
    <t>COCINA INFRARROJO 220V 2 HORNILLAS 2 EN 1 ROCCIA</t>
  </si>
  <si>
    <t>C014</t>
  </si>
  <si>
    <t>COCINA DE INDUCCIÓN 110V 2 HORNILLAS 2 EN 1 ROCCIA</t>
  </si>
  <si>
    <t>C015</t>
  </si>
  <si>
    <t>COCINA DE INDUCCIÓN 220V 2 HORNILLAS 2 EN 1 ROCCIA</t>
  </si>
  <si>
    <t>C016</t>
  </si>
  <si>
    <t>OLLA DE PRESION ELECTRICA SMART TÁCTIL MARCA ROCCIA</t>
  </si>
  <si>
    <t>C017</t>
  </si>
  <si>
    <t>COCINA VITROCERAMICA A GAS 2 QUEMADORES ALTA GAMA JZB-G206b</t>
  </si>
  <si>
    <t>C018</t>
  </si>
  <si>
    <t>COCINA VITROCERAMICA A GAS 3 QUEMADORES JZ-G307</t>
  </si>
  <si>
    <t>FILTROS PARA PISCINA</t>
  </si>
  <si>
    <t>B025F</t>
  </si>
  <si>
    <t>FILTRO DE PISCINA DE 24" MARCA ROCCIA</t>
  </si>
  <si>
    <t>B030F</t>
  </si>
  <si>
    <t>FILTRO DE PISCINA DE 16" MARCA ROCCIA</t>
  </si>
  <si>
    <t>B031F</t>
  </si>
  <si>
    <t>FILTRO DE PISCINA DE 21" MARCA ROCCIA</t>
  </si>
  <si>
    <t>HERRAMIENTAS</t>
  </si>
  <si>
    <t>H001</t>
  </si>
  <si>
    <t>LLAVES INGLESAS 12 PZAS 8MM-19MM</t>
  </si>
  <si>
    <t>H001G</t>
  </si>
  <si>
    <t>LLAVES INGLESAS 12 PZAS 6MM-32MM</t>
  </si>
  <si>
    <t>H002</t>
  </si>
  <si>
    <t>LLAVES DE RATCHET 12 PIEZAS</t>
  </si>
  <si>
    <t>H003</t>
  </si>
  <si>
    <t>DESTORNILLADOR 12 PZAS</t>
  </si>
  <si>
    <t>H005</t>
  </si>
  <si>
    <t>DADOS 1/2" 32 PIEZAS</t>
  </si>
  <si>
    <t>H007</t>
  </si>
  <si>
    <t>DADOS 1/2" Y 1/4" 77 PZAS</t>
  </si>
  <si>
    <t>H012</t>
  </si>
  <si>
    <t>KIT DE ALICATE PARA INSTALAR O REMOVER ABRAZADERAS YZ-6004</t>
  </si>
  <si>
    <t>H015</t>
  </si>
  <si>
    <t>ESCARIADOR PARA ASIENTO DE INYECTORES YZ-6057 (HERRAMIENTA PARA LIMPIAR Y DESCARBONIZAR)</t>
  </si>
  <si>
    <t>H016</t>
  </si>
  <si>
    <t>CAMILLA MECANICA (CON DETALLES) CON RUEDAS Y LUZ LED 40" MARCA ROCCIA</t>
  </si>
  <si>
    <t>H023</t>
  </si>
  <si>
    <t>LLAVE DE ARTILLERÍA 22X38MM YZ-6013-5</t>
  </si>
  <si>
    <t>H025</t>
  </si>
  <si>
    <t>MEDIDOR DE COMPRESIÓN DE MOTORES DIESEL YZ-7008</t>
  </si>
  <si>
    <t>H026</t>
  </si>
  <si>
    <t>MEDIDOR DE PRESIÓN DE GASOLINA YZ-7004</t>
  </si>
  <si>
    <t>H027</t>
  </si>
  <si>
    <t>KIT DE EXTRACTOR DE RODAMIENTOS YZ-6003</t>
  </si>
  <si>
    <t>H028</t>
  </si>
  <si>
    <t>KIT REMOVEDOR DE ESTOPERAS UNIVERSAL YZ-6008</t>
  </si>
  <si>
    <t>H030</t>
  </si>
  <si>
    <t>RECOGE ESPIRALES, COMPRESOR DE ESPIRALES CON PIN DE SEGURIDAD YZ9014</t>
  </si>
  <si>
    <t>H031</t>
  </si>
  <si>
    <t>ZUNCHO PARA ANILLAR 3" 53MM-175MM YZ-5041</t>
  </si>
  <si>
    <t>H032</t>
  </si>
  <si>
    <t>ZUNCHO PARA ANILLAR 4" 53MM-175MM YZ-5042</t>
  </si>
  <si>
    <t>H033</t>
  </si>
  <si>
    <t>ZUNCHO DE CADENA UNIVERSAL PARA FILTROS YZ-5051</t>
  </si>
  <si>
    <t>H034</t>
  </si>
  <si>
    <t>ZUNCHO DE CADENA UNIVERSAL PARA FILTROS CON CUADRANTES 1/2" YZ5056</t>
  </si>
  <si>
    <t>H036</t>
  </si>
  <si>
    <t>PICO DE CABEZA DOBLE PARA CAUCHO YQ-032-1</t>
  </si>
  <si>
    <t>H037</t>
  </si>
  <si>
    <t>CALIBRADOR O MEDIDOR DE PRESIÓN DE AIRE DE CAUCHO DIGITAL YQ-032-13</t>
  </si>
  <si>
    <t>H038</t>
  </si>
  <si>
    <t>MARTILLO DE GOMA DE MULTIUSO YQ-033-15</t>
  </si>
  <si>
    <t>H039</t>
  </si>
  <si>
    <t>BARRA DE IMAN FLEXIBLE RECUPERADORA DE TORNILLO YZ-5020</t>
  </si>
  <si>
    <t>H043</t>
  </si>
  <si>
    <t>JUEGO DE DESTORNILLADORES 24 EN 1</t>
  </si>
  <si>
    <t>H045</t>
  </si>
  <si>
    <t>JUEGO DE DADOS DE ALTO IMPACTO DE 1/2" DE 23 PIEZAS</t>
  </si>
  <si>
    <t>H047</t>
  </si>
  <si>
    <t>CINTA PLASTICA ROCCIA DE 200M X 36 UNIDADES</t>
  </si>
  <si>
    <t>H049</t>
  </si>
  <si>
    <t>TRANSPALETA ROCCIA DE 3T RUEDAS NYLON BLANCAS AC30-685N (NYLON WHEELS)</t>
  </si>
  <si>
    <t>H050</t>
  </si>
  <si>
    <t>TRANSPALETA ROCCIA DE 3T RUEDAS SILICON ROJAS AC30-685(PU WHELLS)</t>
  </si>
  <si>
    <t>H057</t>
  </si>
  <si>
    <t>JUEGO DE HERRAMIENTAS DE 121 PZAS 1/2" - 1/4" - 3/8"</t>
  </si>
  <si>
    <t>H058</t>
  </si>
  <si>
    <t>LLAVES ALLEN 9 PIEZAS DE 1,5 MM - 10 MM</t>
  </si>
  <si>
    <t>H064</t>
  </si>
  <si>
    <t>JUEGO DE DADOS DE 1/4" DE 46 PZAS</t>
  </si>
  <si>
    <t>H066</t>
  </si>
  <si>
    <t>JUEGO DE EXTRACTOR DE RODAMIENTOS 75-105MM</t>
  </si>
  <si>
    <t>H068</t>
  </si>
  <si>
    <t>JUEGO DE EXTRACTOR DE MUÑONES Y TERMINALES 5PZAS</t>
  </si>
  <si>
    <t>H069</t>
  </si>
  <si>
    <t>ADAPTADOR/ REDUCTOR PARA RATCHER 1"-3/4" MARCA ROCCIA</t>
  </si>
  <si>
    <t>H070</t>
  </si>
  <si>
    <t>BARRA TIPO L 1"-600MM</t>
  </si>
  <si>
    <t>H074</t>
  </si>
  <si>
    <t>EXTENSION 1"-300MM</t>
  </si>
  <si>
    <t>H075</t>
  </si>
  <si>
    <t>EXTENSION 3/4"-300MM</t>
  </si>
  <si>
    <t>H076</t>
  </si>
  <si>
    <t>EXTENSION 1"-200MM</t>
  </si>
  <si>
    <t>H077</t>
  </si>
  <si>
    <t>EXTENSION 3/4"-200MM</t>
  </si>
  <si>
    <t>H078</t>
  </si>
  <si>
    <t>MARTILLO DEMOLEDOR ELECTRICO 1700W /110V</t>
  </si>
  <si>
    <t>H082</t>
  </si>
  <si>
    <t>COMPRESOR DE AIRE 24L 2HP 100% COBRE FL-24 MARCA ROCCIA</t>
  </si>
  <si>
    <t>H083</t>
  </si>
  <si>
    <t>COMPRESOR DE AIRE 50L 3HP 100% COBRE FL-50 MARCA ROCCIA</t>
  </si>
  <si>
    <t>H084</t>
  </si>
  <si>
    <t>ASPIRADORA HUMEDO SECO INDUSTRIAL DE 1500W 30L MARCA ROCCIA</t>
  </si>
  <si>
    <t>H085</t>
  </si>
  <si>
    <t>PULIDORA INDUSTRIAL DE 1,5HP 17" MARCA ROCCIA</t>
  </si>
  <si>
    <t>H087</t>
  </si>
  <si>
    <t>COMPRESOR DE AIRE LIBRE DE ACEITE 50L 3.2HP DAC-50 MARCA ROCCIA</t>
  </si>
  <si>
    <t>H088</t>
  </si>
  <si>
    <t>ASPIRADORA MULTIPROSITO INALAMBRICA</t>
  </si>
  <si>
    <t>H089</t>
  </si>
  <si>
    <t>SOPLADORA ELECTRICA 260W - 500W MARCA ROCCIA</t>
  </si>
  <si>
    <t>H091</t>
  </si>
  <si>
    <t>GATO TIPO CAIMAN 10 TON. STL10 MARCA ROCCIA</t>
  </si>
  <si>
    <t>H092</t>
  </si>
  <si>
    <t>GATO TIPO CAIMAN 15 TON. STL15 MARCA ROCCIA</t>
  </si>
  <si>
    <t>H094</t>
  </si>
  <si>
    <t>GATO TIPO BOTELLA 20 TON GOOD QUALITY TH420004H</t>
  </si>
  <si>
    <t>H095</t>
  </si>
  <si>
    <t>GATO TIPO BOTELLA 30 TON GOOD QUALITY TH430004H</t>
  </si>
  <si>
    <t>H096</t>
  </si>
  <si>
    <t>GATO TIPO BOTELLA 50 TON GOOD QUALITY TH450004H</t>
  </si>
  <si>
    <t>H097</t>
  </si>
  <si>
    <t>BURRO DE 3TON.TH53003A (PAR) MARCA ROCCIA</t>
  </si>
  <si>
    <t>H098</t>
  </si>
  <si>
    <t>BURRO DE 6 TON. TH56001 (PAR) MARCA ROCCIA</t>
  </si>
  <si>
    <t>H099</t>
  </si>
  <si>
    <t>GATO TIPO TIJERA 1.5T TH11003 MARCA ROCCIA</t>
  </si>
  <si>
    <t>H108</t>
  </si>
  <si>
    <t>GATO TIPO BOTELLA NEUMATICO 30 TON. ST3007Q MARCA ROCCIA</t>
  </si>
  <si>
    <t>H109</t>
  </si>
  <si>
    <t>GATO TIPO CAIMAN NEUMATICO 22 TON. ST2207Q MARCA ROCCIA</t>
  </si>
  <si>
    <t>H110</t>
  </si>
  <si>
    <t>GATO TIPO CAIMAN NEUMATICO 30 TON. ST3007Q-2 MARCA ROCCIA</t>
  </si>
  <si>
    <t>H114</t>
  </si>
  <si>
    <t>COMPRESOR DE AIRE LIBRE DE ACEITE 30L ULTRA SILENT MARCA ROCCIA</t>
  </si>
  <si>
    <t>H115</t>
  </si>
  <si>
    <t>COMPRESOR DE AIRE LIBRE DE ACEITE 60L ULTRA SILENT MARCA ROCCIA</t>
  </si>
  <si>
    <t>H116</t>
  </si>
  <si>
    <t>JUEGO DE 5 PIEZAS PARA PISTOLAS DE AIRE</t>
  </si>
  <si>
    <t>H117</t>
  </si>
  <si>
    <t>CARGADOR DE BATERIAS 12V/24V</t>
  </si>
  <si>
    <t>H118</t>
  </si>
  <si>
    <t>PISTOLA DE AIRE ELÉCTRICA 1000W</t>
  </si>
  <si>
    <t>H122</t>
  </si>
  <si>
    <t>CARGADOR - CARGA RÁPIDA PARA BATERIAS MARCA ROCCIA</t>
  </si>
  <si>
    <t>H123</t>
  </si>
  <si>
    <t>BATERIA 20V LITHIUM 2000 MAH ALTA CALIDAD</t>
  </si>
  <si>
    <t>H124</t>
  </si>
  <si>
    <t>BATERIA 20V LITHIUM 4000 MAH ALTA CALIDAD</t>
  </si>
  <si>
    <t>H125</t>
  </si>
  <si>
    <t>BOLSO PARA HERRAMIENTAS ROCCIA</t>
  </si>
  <si>
    <t>H126</t>
  </si>
  <si>
    <t>PISTOLA DE AIRE INALAMBRICA CGS-LI-2 MARCA ROCCIA (NO INCLUYE BATERIA NI CARGADOR)</t>
  </si>
  <si>
    <t>H127</t>
  </si>
  <si>
    <t>ASPIRADORA MULTIFUNCIÓN A VAPOR 30L 220V EL522 MARCA ROCCIA</t>
  </si>
  <si>
    <t>H131</t>
  </si>
  <si>
    <t>KIT DE ACCESORIOS PARA COMPRESOR 14 PIEZAS MARCA ROCCIA</t>
  </si>
  <si>
    <t>H132</t>
  </si>
  <si>
    <t>MANGUERA PARA COMPRESORES DE AIRE MARCA ROCCIA</t>
  </si>
  <si>
    <t>H133</t>
  </si>
  <si>
    <t>JUEGO DE DADOS DE 1/2 RT1024A2 MARCA ROCCIA</t>
  </si>
  <si>
    <t>H134</t>
  </si>
  <si>
    <t>MAQUINA DE SOLDAR INVERTER MMA-160AH MARCA ROCCIA</t>
  </si>
  <si>
    <t>H135</t>
  </si>
  <si>
    <t>MAQUINA DE SOLDAR INVERTER MMA-200AH MARCA ROCCIA</t>
  </si>
  <si>
    <t>H136</t>
  </si>
  <si>
    <t>MAQUINA DE SOLDAR PROFESIONAL INVERTER MMA-250AH MARCA ROCCIA</t>
  </si>
  <si>
    <t>H137</t>
  </si>
  <si>
    <t>JUEGO DE DADOS DE 1/2 24 PZAS MARCA ROCCIA</t>
  </si>
  <si>
    <t>H138</t>
  </si>
  <si>
    <t>JUEGO DE DADOS DE 27 PIEZAS MARCA ROCCIA</t>
  </si>
  <si>
    <t>H139</t>
  </si>
  <si>
    <t>MÁQUINA DE LIMPIEZA Y PRUEBA DE INYECTORES MARCA ROCCIA</t>
  </si>
  <si>
    <t>H140</t>
  </si>
  <si>
    <t>PROBADOR DE BUJIAS RO105 MARCA ROCCIA</t>
  </si>
  <si>
    <t>H141</t>
  </si>
  <si>
    <t>GRUA PARA MOTORES 2 TONELADA TH72006 MARCA ROCCIA</t>
  </si>
  <si>
    <t>H142</t>
  </si>
  <si>
    <t>SOPORTE PARA MOTORES TH62001 1500LBS MARCA ROCCIA</t>
  </si>
  <si>
    <t>H143</t>
  </si>
  <si>
    <t>SOPORTE PARA MOTORES TH61001 750LBS MARCA ROCCIA</t>
  </si>
  <si>
    <t>H144</t>
  </si>
  <si>
    <t>GATO TIPO CAIMAN 3T PERFIL BAJO DOBLE PISTON TH33013 GOOD Q MARCA ROCCIA</t>
  </si>
  <si>
    <t>H145</t>
  </si>
  <si>
    <t>MAQUINA DE SOLDAR INVERTER MIG/MMA 120/160AH</t>
  </si>
  <si>
    <t>H146</t>
  </si>
  <si>
    <t>MAQUINA DE SOLDAR INVERTER MIG/MMA 120AH</t>
  </si>
  <si>
    <t>H147</t>
  </si>
  <si>
    <t>ESMERIL ANGULAR 4-1/2" 780W 115mm 12.000RPM RO-AG115 MARCA ROCCIA</t>
  </si>
  <si>
    <t>H148</t>
  </si>
  <si>
    <t>MAQUINA DE CORTE TRONZADORA 2800W 355mm 1100RPM LS-8355A MARCA ROCCIA</t>
  </si>
  <si>
    <t>H149</t>
  </si>
  <si>
    <t>ALAMBRE DE SOLDADURA E71T-GS 1,00MM / 1KG MARCA ROCCIA</t>
  </si>
  <si>
    <t>H150</t>
  </si>
  <si>
    <t>GATO TIPO CAIMAN 2TON TH22007B GOOD QUALITY MARCA ROCCIA</t>
  </si>
  <si>
    <t>H151</t>
  </si>
  <si>
    <t>INFLADOR DE NEUMATICOS 90W PORTATIL IR-3691 MARCA ROCCIA</t>
  </si>
  <si>
    <t>H152</t>
  </si>
  <si>
    <t>INFLADOR DE NEUMATICOS 130W PORTATIL IR-5959 MARCA ROCCIA</t>
  </si>
  <si>
    <t>H153</t>
  </si>
  <si>
    <t>MAQUINA DE SOLDAR MMA-120DV 120AH INVERTER MARCA ROCCIA</t>
  </si>
  <si>
    <t>H154</t>
  </si>
  <si>
    <t>MAQUINA DE SOLDAR TIG-200P AC/DC 120/200AH INVERTER MARCA ROCCIA</t>
  </si>
  <si>
    <t>H155</t>
  </si>
  <si>
    <t>MAQUINA DE SOLDAR MMA/MIG/CUT/TIG MMCT-200 200/40AH INVERTER MARCA ROCCIA</t>
  </si>
  <si>
    <t>H156</t>
  </si>
  <si>
    <t>MAQUINA DE CORTE POR PLASMA CUT-40 25/40AH INVERTER MARCA ROCCIA</t>
  </si>
  <si>
    <t>H157</t>
  </si>
  <si>
    <t>GATO TIPO BOTELLA 6 TON GOOD QUALITY TH46004</t>
  </si>
  <si>
    <t>H158</t>
  </si>
  <si>
    <t>GATO TIPO BOTELLA 10 TON GOOD QUALITY TH410004H</t>
  </si>
  <si>
    <t>H159</t>
  </si>
  <si>
    <t>PISTOLA DE AIRE PARA PINTAR DE USO PROFESIONAL R2006 ROCCIA</t>
  </si>
  <si>
    <t>H160</t>
  </si>
  <si>
    <t>PISTOLA DE IMPACTO NEUMATICO DE 1" EJE LARGO RW032</t>
  </si>
  <si>
    <t>H161</t>
  </si>
  <si>
    <t>PISTOLA DE IMPACTO NEUMATICO DE 1/2" EJE CORTO RW-002</t>
  </si>
  <si>
    <t>H162</t>
  </si>
  <si>
    <t>INFLADOR Y CALIBRADOR DE PRESIÓN CON MANOMETRO DIGITAL USO PROFESIONAL RG-31A</t>
  </si>
  <si>
    <t>H163</t>
  </si>
  <si>
    <t>GRASERA INDUSTRIAL NEUMATICA 20KG ALTA PRESION RG-7201</t>
  </si>
  <si>
    <t>H164</t>
  </si>
  <si>
    <t>GRASERA INDUSTRIAL NEUMATICA 30KG ALTA PRESION RG-7301</t>
  </si>
  <si>
    <t>H165</t>
  </si>
  <si>
    <t>ARRANCADOR DE BATERIAS Y COMPRESOR PORTATIL R03 26800MAH 3000A 3,7V ALTA GAMA</t>
  </si>
  <si>
    <t>H166</t>
  </si>
  <si>
    <t>ESTACIÓN DE SOLDAR Y RETRABAJO AIRE CALIENTE 2EN1 8786R ALTA GAMA</t>
  </si>
  <si>
    <t>H167</t>
  </si>
  <si>
    <t>ESTACIÓN DE SOLDAR Y RETRABAJO AIRE CALIENTE 2EN1 LCD SMART 995R ALTA GAMA</t>
  </si>
  <si>
    <t>H168</t>
  </si>
  <si>
    <t>ESTACIÓN DE SOLDAR DIGITAL PROTECCION ESD 982R ALTA GAMA</t>
  </si>
  <si>
    <t>H169</t>
  </si>
  <si>
    <t>EXTRACTOR BOMBA DESOLDADORA ELÉCTRICA ALTA GAMA 929RV</t>
  </si>
  <si>
    <t>HERRAMIENTAS PARA JARDIN</t>
  </si>
  <si>
    <t>J001</t>
  </si>
  <si>
    <t>DESMALEZADORA 51.7CC</t>
  </si>
  <si>
    <t>J002</t>
  </si>
  <si>
    <t>MOTOSIERRA</t>
  </si>
  <si>
    <t>J003</t>
  </si>
  <si>
    <t>FUMIGADORA DE CAÑON 20L</t>
  </si>
  <si>
    <t>J004</t>
  </si>
  <si>
    <t>FUMIGADORA DE CAÑON 14L</t>
  </si>
  <si>
    <t>J006</t>
  </si>
  <si>
    <t>CORTADORA DE GRAMA 4 RUEDAS 16" 4HP MARCA ROCCIA</t>
  </si>
  <si>
    <t>J007</t>
  </si>
  <si>
    <t>CORTADORA DE GRAMA 4 RUEDAS 22" 6.5HP MARCA ROCCIA</t>
  </si>
  <si>
    <t>J008</t>
  </si>
  <si>
    <t>NYLON 3.3MM DE 200 METROS ALTA CALIDAD MARCA ROCCIA</t>
  </si>
  <si>
    <t>J009</t>
  </si>
  <si>
    <t>AHOYADORA PERFORADORA 2T 1.6KW 52CC BROCA 8" A GASOLINA RG-5200</t>
  </si>
  <si>
    <t>J010</t>
  </si>
  <si>
    <t>CORTASETOS PODADORA 0,9HP 23CC RCT230</t>
  </si>
  <si>
    <t>HIDROJETS</t>
  </si>
  <si>
    <t>B020H</t>
  </si>
  <si>
    <t>HIDROJET MODELO SY11X INDUCCION 2100 WATTS</t>
  </si>
  <si>
    <t>B021H</t>
  </si>
  <si>
    <t>HIDROJET MODELO SY01A 1400 WATTS</t>
  </si>
  <si>
    <t>B022H</t>
  </si>
  <si>
    <t>HIDROJET MODELO SM11Z 1650 WATTS MARCA ROCCIA</t>
  </si>
  <si>
    <t>B023H</t>
  </si>
  <si>
    <t>HIDROJET MODELO SP11Z 2200 WATTS MARCA ROCCIA</t>
  </si>
  <si>
    <t>B025H</t>
  </si>
  <si>
    <t>HIDROJET INDUCCION 3000W ALTA POTENCIA USO COMERCIAL 220V RSC-220 MARCA ROCCIA</t>
  </si>
  <si>
    <t>B026H</t>
  </si>
  <si>
    <t>HIDROJET A GASOLINA 2800PSI USO INDUSTRIAL RH-2900A MARCA ROCCIA</t>
  </si>
  <si>
    <t>B027H</t>
  </si>
  <si>
    <t>HIDROJET A GASOLINA 3000PSI USO INDUSTRIAL RH-3400A MARCA ROCCIA</t>
  </si>
  <si>
    <t>B028H</t>
  </si>
  <si>
    <t>HIDROJET DE INDUCCION 1500W ALTA POTENCIA RT-S03 MARCA ROCCIA</t>
  </si>
  <si>
    <t>HIDROJETS RECARGABLES</t>
  </si>
  <si>
    <t>B034H</t>
  </si>
  <si>
    <t>HIDROJET INALAMBRICO PORTATIL CRESCENT</t>
  </si>
  <si>
    <t>B035H</t>
  </si>
  <si>
    <t>HIDROJET INALAMBRICO PORTATIL ALTA CALIDAD MARCA ROCCIA (NO INCLUYE BATERIA NI CARGADOR)</t>
  </si>
  <si>
    <t>B035HP</t>
  </si>
  <si>
    <t>HIDROJET INALAMBRICO PORTATIL ALTA CALIDAD MARCA ROCCIA + CARGADOR + BATERIA</t>
  </si>
  <si>
    <t>B036H</t>
  </si>
  <si>
    <t>HIDROJET INALAMBRICO PORTATIL ALTA PRESIÓN CRESCENT RHP-03</t>
  </si>
  <si>
    <t>B037H</t>
  </si>
  <si>
    <t>HIDROJET DE INDUCCION 1800W ALTA POTENCIA RT-135 ROCCIA</t>
  </si>
  <si>
    <t>INDUSTRIALES</t>
  </si>
  <si>
    <t>I001</t>
  </si>
  <si>
    <t>REBANADORA 250 MM</t>
  </si>
  <si>
    <t>I002</t>
  </si>
  <si>
    <t>REBANADORA 300 MM</t>
  </si>
  <si>
    <t>I003</t>
  </si>
  <si>
    <t>MOLINO DE CARNE 22MM 220V</t>
  </si>
  <si>
    <t>I003V</t>
  </si>
  <si>
    <t>MOLINO DE CARNE 22MM 110V</t>
  </si>
  <si>
    <t>I005</t>
  </si>
  <si>
    <t>EMBUTIDORA 10L</t>
  </si>
  <si>
    <t>I006</t>
  </si>
  <si>
    <t>AMASADORA INDUSTRIAL 34 L</t>
  </si>
  <si>
    <t>I007</t>
  </si>
  <si>
    <t>AMASADORA INDUSTRIAL 64 L</t>
  </si>
  <si>
    <t>I008</t>
  </si>
  <si>
    <t>PRENSA DE CARNE DE HAMBURGUESA 10CM</t>
  </si>
  <si>
    <t>I009</t>
  </si>
  <si>
    <t>PRENSA DE CARNE DE HAMBURGUESA 13CM</t>
  </si>
  <si>
    <t>I010</t>
  </si>
  <si>
    <t>BATIDORA INDUSTRIAL 12L SL-B12</t>
  </si>
  <si>
    <t>I011</t>
  </si>
  <si>
    <t>TERMOSELLADORA ENVOPLAST INDUSTRIAL</t>
  </si>
  <si>
    <t>I012</t>
  </si>
  <si>
    <t>PLANCHA ELECTRICA INDUSTRIAL DPL-818 220V</t>
  </si>
  <si>
    <t>I013</t>
  </si>
  <si>
    <t>PLANCHA ELECTRICA INDUSTRIAL DPL-818-2 220V</t>
  </si>
  <si>
    <t>I014</t>
  </si>
  <si>
    <t>PLANCHA ELECTRICA INDUSTRIAL DPL-620 220V</t>
  </si>
  <si>
    <t>I015</t>
  </si>
  <si>
    <t>PLANCHA ELECTRICA INDUSTRIAL DPL-740 220V</t>
  </si>
  <si>
    <t>I017</t>
  </si>
  <si>
    <t>FREIDORA ELECTRICA DZL-6H 110V/1500W 4.7L (CAPACIDAD DE ACEITE: 1,5 LITROS)</t>
  </si>
  <si>
    <t>I018</t>
  </si>
  <si>
    <t>FREIDORA ELECTRICA DZL-8H 110V/2000W 6.8L (CAPACIDAD DE ACEITE: 2,5 LITROS)</t>
  </si>
  <si>
    <t>I019</t>
  </si>
  <si>
    <t>FREIDORA ELECTRICA DZL-061B 220V/2500W 6L (CAPACIDAD DE ACEITE: 4 LITROS)</t>
  </si>
  <si>
    <t>I020</t>
  </si>
  <si>
    <t>FREIDORA ELECTRICA INDUSTRIAL DZL-10L 220V/3000W (CAPACIDAD DE ACEITE: 6 LITROS)</t>
  </si>
  <si>
    <t>I022</t>
  </si>
  <si>
    <t>FREIDORA ELECTRICA INDUSTRIAL DZL-400 220V/3000W 30L (CAPACIDAD DE ACEITE: 16 LITROS)</t>
  </si>
  <si>
    <t>I023</t>
  </si>
  <si>
    <t>FREIDORA ELECTRICA INDUSTRIAL DZL-800 DOBLE 220V/6000W 60L (CAPACIDAD DE ACEITE: 16+16 LITROS)</t>
  </si>
  <si>
    <t>I024</t>
  </si>
  <si>
    <t>FREIDORA ELECTRICA INDUSTRIAL DZL-16V 220V/3500W 30L (CAPACIDAD DE ACEITE: 10 LITROS)</t>
  </si>
  <si>
    <t>I025</t>
  </si>
  <si>
    <t>FREIDORA ELECTRICA INDUSTRIAL DZL-32V DOBLE 220V/7000W (CAPACIDAD DE ACEITE: 10+10 LITROS)</t>
  </si>
  <si>
    <t>I027</t>
  </si>
  <si>
    <t>MAQUINA ASADORA SHAWARMA INDUSTRIAL A GAS CHZ-862 50W</t>
  </si>
  <si>
    <t>I029</t>
  </si>
  <si>
    <t>MAQUINA ASADORA SHAWARMA ELECTRICA INDUSTRIAL CHZ-890 20W</t>
  </si>
  <si>
    <t>I030</t>
  </si>
  <si>
    <t>MAQUINA DE HELADOS SOFT DE TRES SABORES 220V MARCA ROCCIA</t>
  </si>
  <si>
    <t>I031</t>
  </si>
  <si>
    <t>MAQUINA DE HELADOS SOFT DE PISO DE TRES SABORES 220V MARCA ROCCIA</t>
  </si>
  <si>
    <t>I032</t>
  </si>
  <si>
    <t>MAQUINA PARA HELADOS SOFT DE TRES SABORES DE PISO ALTA GAMA 220V MARCA ROCCIA</t>
  </si>
  <si>
    <t>I033</t>
  </si>
  <si>
    <t>MAQUINA PARA HELADOS SOFT DE TRES SABORES DE MESA ALTA GAMA 220V MARCA ROCCIA</t>
  </si>
  <si>
    <t>I035</t>
  </si>
  <si>
    <t>FREIDORA ELECTRICA A PRESIÓN 220V / TRES FASES PFE800 MARCA ROCCIA</t>
  </si>
  <si>
    <t>I036</t>
  </si>
  <si>
    <t>FREIDORA ELECTRICA DZL-061B 110V/2000W 6L</t>
  </si>
  <si>
    <t>I037</t>
  </si>
  <si>
    <t>MAQUINA SELLADORA AL VACIO 750W MARCA ROCCIA</t>
  </si>
  <si>
    <t>I038</t>
  </si>
  <si>
    <t>MAQUINA SELLADORA AL VACIO 370W MARCA ROCCIA</t>
  </si>
  <si>
    <t>I039</t>
  </si>
  <si>
    <t>MAQUINA DE HELADOS SOFT DE TRES SABORES PARA ALTA PRODUCCIÓN DE MESA MARCA ROCCIA</t>
  </si>
  <si>
    <t>I040</t>
  </si>
  <si>
    <t>MAQUINA DE HELADOS SOFT TRES SABORES PARA ALTA PRODUCCIÓN DE PISO MARCA ROCCIA</t>
  </si>
  <si>
    <t>I042</t>
  </si>
  <si>
    <t>LICUADORA USO COMERCIAL 2 LITROS DE ALTA POTENCIA MARCA ROCCIA</t>
  </si>
  <si>
    <t>I043</t>
  </si>
  <si>
    <t>LICUADORA USO COMERCIAL 6 LITROS DE ALTA POTENCIA MARCA ROCCIA</t>
  </si>
  <si>
    <t>I044</t>
  </si>
  <si>
    <t>MAQUINA GRANIZADORA FRAPPE 2 SABORES</t>
  </si>
  <si>
    <t>I045</t>
  </si>
  <si>
    <t>MAQUINA GRANIZADORA FRAPPE 3 SABORES</t>
  </si>
  <si>
    <t>I047</t>
  </si>
  <si>
    <t>AMASADORA INDUSTRIAL 60 LITROS LB-60</t>
  </si>
  <si>
    <t>I048</t>
  </si>
  <si>
    <t>LICUADORA INTELIGENTE MULTIFUNCIONAL 2 EN 1 ROJA 1200W MARCA ROCCIA</t>
  </si>
  <si>
    <t>I048N</t>
  </si>
  <si>
    <t>LICUADORA INTELIGENTE MULTIFUNCIONAL 2 EN 1 NEGRA 1200W MARCA ROCCIA</t>
  </si>
  <si>
    <t>I049</t>
  </si>
  <si>
    <t>FABRICADOR DE HIELO COMERCIAL DE 90KG/ 500W SD90 MARCA ROCCIA</t>
  </si>
  <si>
    <t>I051</t>
  </si>
  <si>
    <t>FABRICADOR DE HIELO INDUSTRIAL DE 380KG / 3000W CON DEPOSITO DE 200KG SF380 MARCA ROCCIA</t>
  </si>
  <si>
    <t>I052</t>
  </si>
  <si>
    <t>MAQUINA DE HELADOS DURO RQ18T MARCA ROCCIA</t>
  </si>
  <si>
    <t>I053</t>
  </si>
  <si>
    <t>LICUADORA SILENCIOSA DE 2 LITROS USO COMERCIAL RS-305 MARCA ROCCIA</t>
  </si>
  <si>
    <t>I054</t>
  </si>
  <si>
    <t>LICUADORA MULTIFUNCIONAL 1.8 LITROS RS-06 MARCA ROCCIA</t>
  </si>
  <si>
    <t>I055</t>
  </si>
  <si>
    <t>LICUADORA PANTALLA INTELIGENTE DE USO COMERCIAL 3L RS-306 MARCA ROCCIA</t>
  </si>
  <si>
    <t>I056</t>
  </si>
  <si>
    <t>FABRICADOR DE HIELO INDUSTRIAL DE 500KG / 3300W CON DEPOSITO DE 250KG SF500 MARCA ROCCIA</t>
  </si>
  <si>
    <t>I057</t>
  </si>
  <si>
    <t>FABRICADOR DE HIELO INDUSTRIAL DE 700KG / 4500W CON DEPOSITO DE 250KG SF700 MARCA ROCCIA</t>
  </si>
  <si>
    <t>I059</t>
  </si>
  <si>
    <t>FABRICADOR DE HIELO COMERCIAL 60KG / 427W SD60 MARCA ROCCIA</t>
  </si>
  <si>
    <t>I060</t>
  </si>
  <si>
    <t>HORNO ELECTRICO 1 PISOS 2 BANDEJAS 20°C a 400°C 220V CON PIEDRA O1D2TE MARCA ROCCIA</t>
  </si>
  <si>
    <t>I061</t>
  </si>
  <si>
    <t>HORNO ELECTRICO 2 PISOS 4 BANDEJAS 20°C a 400°C 220V CON PIEDRA MONOFASICO O2D4T-E MARCA ROCCIA</t>
  </si>
  <si>
    <t>I061V</t>
  </si>
  <si>
    <t>HORNO ELECTRICO 2 PISOS 4 BANDEJAS 20°C a 400°C 220V CON PIEDRA TRIFASICO O2D4T-E MARCA ROCCIA</t>
  </si>
  <si>
    <t>I062</t>
  </si>
  <si>
    <t>HORNO GAS 2 PISO 4 BANDEJAS 20°C a 400°C 220V CON PIEDRA O2D4T-G MARCA ROCCIA</t>
  </si>
  <si>
    <t>I063</t>
  </si>
  <si>
    <t>BATIDORA PLANETARIA 20L MARCA ROCCIA</t>
  </si>
  <si>
    <t>I064</t>
  </si>
  <si>
    <t>BATIDORA PLANETARIA 30L MARCA ROCCIA</t>
  </si>
  <si>
    <t>I065</t>
  </si>
  <si>
    <t>PLANCHA ELECTRICA INDUSTRIAL DPL-900 220V MARCA ROCCIA</t>
  </si>
  <si>
    <t>I066</t>
  </si>
  <si>
    <t>PLANCHA ELECTRICA INDUSTRIAL DPL-900-2 220V MARCA ROCCIA</t>
  </si>
  <si>
    <t>I067</t>
  </si>
  <si>
    <t>PLANCHA INDUSTRIAL 24" TIPO PARRILLA A GAS CP-CB24-M MARCA ROCCIA</t>
  </si>
  <si>
    <t>I068</t>
  </si>
  <si>
    <t>PLANCHA INDUSTRIAL A GAS 24" CP-G24-M</t>
  </si>
  <si>
    <t>I069</t>
  </si>
  <si>
    <t>PLANCHA INDUSTRIAL A GAS 36" CP-G36-M</t>
  </si>
  <si>
    <t>I070</t>
  </si>
  <si>
    <t>PLANCHA INDUSTRIAL A GAS 48" CP-G48-M</t>
  </si>
  <si>
    <t>I071</t>
  </si>
  <si>
    <t>COCINA INDUSTRIAL A GAS 1 QUEMADOR CP-SP-1</t>
  </si>
  <si>
    <t>I072</t>
  </si>
  <si>
    <t>COCINA INDUSTRIAL A GAS 2 QUEMADORES CP-SP-2-H</t>
  </si>
  <si>
    <t>I073</t>
  </si>
  <si>
    <t>COCINA INDUSTRIAL A GAS 24" 4 QUEMADORES CP-HP24-M</t>
  </si>
  <si>
    <t>I074</t>
  </si>
  <si>
    <t>COCINA INDUSTRIAL A GAS 36" 6 QUEMADORES CP-HP36-M</t>
  </si>
  <si>
    <t>I075</t>
  </si>
  <si>
    <t>COCINA / HORNO INDUSTRIAL A GAS 6 QUEMADORES 36" CON SALPICADERO CP-R36</t>
  </si>
  <si>
    <t>I076</t>
  </si>
  <si>
    <t>COCINA/PLANCHA INDUSTRIAL A GAS 48" 4 QUEMADORES CPC-24H24G</t>
  </si>
  <si>
    <t>I077</t>
  </si>
  <si>
    <t>COCINA/PLANCHA INDUSTRIAL A GAS 60" 6 QUEMADORES CPC-36H24G</t>
  </si>
  <si>
    <t>I078</t>
  </si>
  <si>
    <t>COCINA/PLANCHA/DOBLE HORNO CP-R48-24MG INDUSTRIAL A GAS 4 QUEMADORES 48" CON SALPICADERO</t>
  </si>
  <si>
    <t>I079</t>
  </si>
  <si>
    <t>COCINA/PLANCHA/DOBLE HORNO CP-R60-24MG INDUSTRIAL A GAS 6 QUEMADORES 60" CON SALPICADERO</t>
  </si>
  <si>
    <t>I080</t>
  </si>
  <si>
    <t>COCINA/PLANCHA ELEVADA/DOBLE HORNO CP-R60-24RG INDUSTRIAL A GAS 6 QUEMADORES 60" CON SALPICADERO</t>
  </si>
  <si>
    <t>I081</t>
  </si>
  <si>
    <t>FREIDORA A GAS DOBLE CP-F4D-LP</t>
  </si>
  <si>
    <t>I082</t>
  </si>
  <si>
    <t>MAQUINA DE CAFE ESPRESSO 2400W DF-1 220V</t>
  </si>
  <si>
    <t>I083</t>
  </si>
  <si>
    <t>MAQUINA DE CAFE ESPRESSO 2 CUERPOS 6200W KT3-2 220V ALTA GAMA</t>
  </si>
  <si>
    <t>I084</t>
  </si>
  <si>
    <t>MAQUINA DE CAFE ESPRESSO LEGEND 3800W 220V Q2 GOOD QUALITY</t>
  </si>
  <si>
    <t>I085</t>
  </si>
  <si>
    <t>MOLINO DE CAFE AUTOMÁTICO 350W 110V 600AD</t>
  </si>
  <si>
    <t>I086</t>
  </si>
  <si>
    <t>SIERRA INDUSTRIAL PARA CARNICERIA 220V 3 FASES 60Hz J350</t>
  </si>
  <si>
    <t>LINEA HOGAR</t>
  </si>
  <si>
    <t>LH001</t>
  </si>
  <si>
    <t>ASPIRADORA Y TRAPEADORA SMART 2 EN 1 RECARGABLE BVC-T8 MARCA ROCCIA</t>
  </si>
  <si>
    <t>LH002</t>
  </si>
  <si>
    <t>ASPIRADORA DE LUJO INALAMBRICA RECARGABLE RC-V11 MARCA ROCCIA</t>
  </si>
  <si>
    <t>LUCES SOLARES</t>
  </si>
  <si>
    <t>LS001</t>
  </si>
  <si>
    <t>LAMPARA CON PANEL SOLAR 1400LM 80W/10AH</t>
  </si>
  <si>
    <t>LS002</t>
  </si>
  <si>
    <t>LAMPARA CON PANEL SOLAR 2100LM 160W/15AH</t>
  </si>
  <si>
    <t>LS003</t>
  </si>
  <si>
    <t>LAMPARA CON PANEL SOLAR 2800LM 240W/20AH</t>
  </si>
  <si>
    <t>LS004</t>
  </si>
  <si>
    <t>LAMPARA CON PANEL SOLAR 4200LM 320W/30AH</t>
  </si>
  <si>
    <t>LS005</t>
  </si>
  <si>
    <t>LAMPARA SOLAR 1100LM 80W/10AH</t>
  </si>
  <si>
    <t>LS006</t>
  </si>
  <si>
    <t>LAMPARA SOLAR 1680LM 120W/12AH</t>
  </si>
  <si>
    <t>LS007</t>
  </si>
  <si>
    <t>LAMPARA SOLAR 2100LM 150W/15AH</t>
  </si>
  <si>
    <t>LS008</t>
  </si>
  <si>
    <t>LAMPARA SOLAR DE POSTE 6000LM 450W/45AH</t>
  </si>
  <si>
    <t>LS009</t>
  </si>
  <si>
    <t>LAMPARA PORTATIL 2100LM 150W/15AH</t>
  </si>
  <si>
    <t>LS010</t>
  </si>
  <si>
    <t>SOPORTE PARA LAMPARA SOLAR 450MM</t>
  </si>
  <si>
    <t>LS011</t>
  </si>
  <si>
    <t>BOMBILLO RECARGABLE ALTA GAMA RB-7823 100W 4000MAH</t>
  </si>
  <si>
    <t>LS012</t>
  </si>
  <si>
    <t>BATERIA RECARGABLE 2000MAH (1 UNIDAD) RB-LI01</t>
  </si>
  <si>
    <t>MISCELANEOS</t>
  </si>
  <si>
    <t>M001</t>
  </si>
  <si>
    <t>DETECTORA DE BILLETES FALSOS AL-130A PANTALLA AZUL</t>
  </si>
  <si>
    <t>M004</t>
  </si>
  <si>
    <t>IMPRESORA DE ETIQUETAS 80MM RC-8610 USO PROFESIONAL</t>
  </si>
  <si>
    <t>M005</t>
  </si>
  <si>
    <t>IMPRESORA TERMICA 58MM RC-5801</t>
  </si>
  <si>
    <t>M006</t>
  </si>
  <si>
    <t>IMPRESORA TERMICA 80MM RC-8002</t>
  </si>
  <si>
    <t>M008</t>
  </si>
  <si>
    <t>IMPRESORA TERMICA LINEAL CABLE RS232 RC-5804</t>
  </si>
  <si>
    <t>M010</t>
  </si>
  <si>
    <t>CONTADORA DE BILLETES INTELIGENTE SMART PANTALLA TACTIL MARCA ROCCIA</t>
  </si>
  <si>
    <t>M011</t>
  </si>
  <si>
    <t>CONTADORA DE BILLETES INTELIGENTE PANTALLA TACTIL MARCA ROCCIA</t>
  </si>
  <si>
    <t>M012</t>
  </si>
  <si>
    <t>CONTADORA Y DETECTORA DE BILLETES CON VISOR R-06 MARCA ROCCIA</t>
  </si>
  <si>
    <t>M017</t>
  </si>
  <si>
    <t>BATERIA DE LITIO VOLTAJE NOMINAL 51.2V CAPACIDAD NOMINAL 100AH ENERGIA NOMINAL 5120WH 6000 CICLOS ALTA CALIDAD</t>
  </si>
  <si>
    <t>M019</t>
  </si>
  <si>
    <t>BATERIA DE LITIO VOLTAJE NOMINAL 25.6V CAPACIDAD NOMINAL 100AH ENERGIA NOMINAL 2560WH 6000 CICLOS ALTA CALIDAD</t>
  </si>
  <si>
    <t>M020</t>
  </si>
  <si>
    <t>INVERTER SOLAR 3KW/PV3000 MARCA ROCCIA</t>
  </si>
  <si>
    <t>M021</t>
  </si>
  <si>
    <t>PANEL SOLAR TECNOLOGÍA TOPCON BIFACIAL TIPO N 580W MARCA ROCCIA</t>
  </si>
  <si>
    <t>M022</t>
  </si>
  <si>
    <t>MODULO WIFI PARA INVERTERS MARCA ROCCIA</t>
  </si>
  <si>
    <t>M024</t>
  </si>
  <si>
    <t>INTERRUPTOR DE TRANSFERENCIA DE POTENCIA DUAL 3P 125A 220V MARCA ROCCIA</t>
  </si>
  <si>
    <t>M025</t>
  </si>
  <si>
    <t>POWERBANK BLANCO GOOD QUALITY CARGA RAPIDA 30000MAH MARCA ROCCIA</t>
  </si>
  <si>
    <t>M025N</t>
  </si>
  <si>
    <t>POWERBANK NEGRO GOOD QUALITY CARGA RAPIDA 30000MAH MARCA ROCCIA</t>
  </si>
  <si>
    <t>M027</t>
  </si>
  <si>
    <t>PANEL SOLAR TECNOLOGÍA TOPCON TIPO N 460W MARCA ROCCIA</t>
  </si>
  <si>
    <t>M028</t>
  </si>
  <si>
    <t>LECTOR CODIGO DE BARRA 1D CCD CON CABLE CBR-1100C MARCA ROCCIA</t>
  </si>
  <si>
    <t>M029</t>
  </si>
  <si>
    <t>LECTOR CODIGO DE BARRA 2D CON CABLE CBR-8200D MARCA ROCCIA</t>
  </si>
  <si>
    <t>M030</t>
  </si>
  <si>
    <t>LECTOR CODIGO DE BARRA 1D INALAMBRICO CBR-8200LW MARCA ROCCIA</t>
  </si>
  <si>
    <t>M031</t>
  </si>
  <si>
    <t>LECTOR CODIGO DE BARRA 2D INALAMBRICO CBR-8200DB MARCA ROCCIA</t>
  </si>
  <si>
    <t>M032</t>
  </si>
  <si>
    <t>LECTOR CODIGO DE BARRA DE MESA 1D Y 2D 9601D MARCA ROCCIA</t>
  </si>
  <si>
    <t>MONTACARGAS</t>
  </si>
  <si>
    <t>MC001</t>
  </si>
  <si>
    <t>MONTACARGAS 3T DUAL GAS GASOLINA MOTOR NISSAN K25 6M ALTURA</t>
  </si>
  <si>
    <t>MOTOR FUERA DE BORDA</t>
  </si>
  <si>
    <t>E001</t>
  </si>
  <si>
    <t>MOTOR FUERA DE BORDA T40GS EJE CORTO 40HP ENDURANCE MARCA ROCCIA</t>
  </si>
  <si>
    <t>E002</t>
  </si>
  <si>
    <t>MOTOR FUERA DE BORDA T40GL EJE LARGO 40HP ENDURANCE T40G MARCA ROCCIA</t>
  </si>
  <si>
    <t>E003</t>
  </si>
  <si>
    <t>MOTOR FUERA DE BORDA T15S EJE CORTO 15HP SEAPRO (6B4) MARCA ROCCIA</t>
  </si>
  <si>
    <t>E004</t>
  </si>
  <si>
    <t>MOTOR FUERA DE BORDA T15L EJE LARGO 15HP SEAPRO (6B4) MARCA ROCCIA</t>
  </si>
  <si>
    <t>E005</t>
  </si>
  <si>
    <t>MOTOR FUERA DE BORDA T40XS EJE CORTO 40HP SEAPRO (66T) MARCA ROCCIA</t>
  </si>
  <si>
    <t>E006</t>
  </si>
  <si>
    <t>MOTOR FUERA DE BORDA T40XL EJE LARGO, 40HP SEAPRO (66T) MARCA ROCCIA</t>
  </si>
  <si>
    <t>PLANTAS ELÉCTRICAS</t>
  </si>
  <si>
    <t>G001</t>
  </si>
  <si>
    <t>PLANTA ELECTRICA 20KW/25KVA 3 PHASE 220V CON ATS: 100A MARCA ROCCIA</t>
  </si>
  <si>
    <t>G001-2</t>
  </si>
  <si>
    <t>PLANTA ELECTRICA 20KW/25KVA 1 PHASE 220V ATS: YAT 160A MARCA ROCCIA</t>
  </si>
  <si>
    <t>G002</t>
  </si>
  <si>
    <t>PLANTA ELECTRICA 30KW/38KVA 3 PHASE 220V CON ATS: 160A MARCA ROCCIA</t>
  </si>
  <si>
    <t>G003</t>
  </si>
  <si>
    <t>PLANTA ELECTRICA 40KW/50KVA 3 PHASE 220V CON ATS: 160A MARCA ROCCIA</t>
  </si>
  <si>
    <t>G004</t>
  </si>
  <si>
    <t>PLANTA ELECTRICA 50KW/63KVA 3 PHASE 220V ATS: YAT 250A MARCA ROCCIA</t>
  </si>
  <si>
    <t>G006</t>
  </si>
  <si>
    <t>PLANTA ELECTRICA 100KW/125KVA 3 PHASE 220V CON ATS: YAT 400A MARCA ROCCIA</t>
  </si>
  <si>
    <t>G007</t>
  </si>
  <si>
    <t>PLANTA ELECTRICA 136KW/170KVA 3 PHASE 220V CON ATS: YAT630</t>
  </si>
  <si>
    <t>G008</t>
  </si>
  <si>
    <t>PLANTA ELECTRICA 160KW/200KVA 3 PHASE 220V CON ATS: YAT630</t>
  </si>
  <si>
    <t>G009</t>
  </si>
  <si>
    <t>PLANTA ELECTRICA 200KW/250KVA 3 PHASE 220V CON ATS: YAT800</t>
  </si>
  <si>
    <t>SEGURIDAD</t>
  </si>
  <si>
    <t>S001</t>
  </si>
  <si>
    <t>MOTOR PORTON DESLIZANTE KIT 800KG-130W-220V AZUL (INCLUYE 3M DE RIEL, PAR DE CONTROLES, TOPES Y JUEGO DE LLAVES) MARCA ROCCIA</t>
  </si>
  <si>
    <t>S001V</t>
  </si>
  <si>
    <t>MOTOR PORTON DESLIZANTE KIT 800KG-130W-110V AZUL (INCLUYE 3M DE RIEL, PAR DE CONTROLES, TOPES Y JUEGO DE LLAVES) MARCA ROCCIA</t>
  </si>
  <si>
    <t>S004</t>
  </si>
  <si>
    <t>MOTOR PORTON BATIENTE 350KG-60W-24V MARCA ROCCIA</t>
  </si>
  <si>
    <t>S006</t>
  </si>
  <si>
    <t>SENSOR PARA PORTONES ELECTRICOS 8-10M</t>
  </si>
  <si>
    <t>S007</t>
  </si>
  <si>
    <t>CONTROL PARA PORTONES GRAY MATE MARCA ROCCIA</t>
  </si>
  <si>
    <t>S008</t>
  </si>
  <si>
    <t>CONTROL PARA PORTONES BLACK DELUXE MARCA ROCCIA</t>
  </si>
  <si>
    <t>S009</t>
  </si>
  <si>
    <t>RECEPTOR UNIVERSAL PARA MOTORES DE PORTONES ELECTRICOS</t>
  </si>
  <si>
    <t>S010</t>
  </si>
  <si>
    <t>MOTOR DE PORTON DEZLIZANTE 1000KG-370W-220V GRIS (INCLUYE 3M DE RIEL, PAR DE CONTROLES, TOPES Y JUEGO DE LLAVES) MARCA ROCCIA</t>
  </si>
  <si>
    <t>S010V</t>
  </si>
  <si>
    <t>MOTOR DE PORTON DEZLIZANTE 1000KG-370W-110V GRIS (INCLUYE 3M DE RIEL, PAR DE CONTROLES, TOPES Y JUEGO DE LLAVES) MARCA ROCCIA</t>
  </si>
  <si>
    <t>S011</t>
  </si>
  <si>
    <t>MOTOR PORTON DESLIZANTE 800KG-130W-220V AZUL (INCLUYE PAR DE CONTROLES, TOPES Y JUEGO DE LLAVES) MARCA ROCCIA</t>
  </si>
  <si>
    <t>S011V</t>
  </si>
  <si>
    <t>MOTOR PORTON DESLIZANTE 800KG-130W-110V AZUL (INCLUYE PAR DE CONTROLES, TOPES Y JUEGO DE LLAVES) MARCA ROCCIA</t>
  </si>
  <si>
    <t>VENTILADORES</t>
  </si>
  <si>
    <t>F001</t>
  </si>
  <si>
    <t>VENTILADOR 10" ALTA POTENCIA ROCCIA</t>
  </si>
  <si>
    <t>F003</t>
  </si>
  <si>
    <t>VENTILADOR METAL-PLASTICO CON CAJA</t>
  </si>
  <si>
    <t>VENTILADOR METAL-PLASTICO A GRANEL A PARTIR DE 40 UNIDADES</t>
  </si>
  <si>
    <t>F007</t>
  </si>
  <si>
    <t>VENTILADOR 26" INDUSTRIAL DE PEDESTAL</t>
  </si>
  <si>
    <t>F007A</t>
  </si>
  <si>
    <t>VENTILADOR 26" INDUSTRIAL AEREO</t>
  </si>
  <si>
    <t>F008</t>
  </si>
  <si>
    <t>VENTILADOR 30" INDUSTRIAL DE PEDESTAL</t>
  </si>
  <si>
    <t>F008A</t>
  </si>
  <si>
    <t>VENTILADOR 30" INDUSTRIAL AEREO</t>
  </si>
  <si>
    <t>F009G</t>
  </si>
  <si>
    <t>PEDESTAL AEREO 26" Y 30" GOOD QUALITY</t>
  </si>
  <si>
    <t>F010</t>
  </si>
  <si>
    <t>VENTILADOR 26" INDUSTRIAL DE PEDESTAL DE LUJO</t>
  </si>
  <si>
    <t>F010AG</t>
  </si>
  <si>
    <t>VENTILADOR 26" AEREO INDUSTRIAL DE LUJO</t>
  </si>
  <si>
    <t>F0011</t>
  </si>
  <si>
    <t>VENTILADOR 30" INDUSTRIAL DE PEDESTAL DE LUJO</t>
  </si>
  <si>
    <t>F0011AG</t>
  </si>
  <si>
    <t>VENTILADOR 30" AEREO INDUSTRIAL DE LUJO</t>
  </si>
  <si>
    <t>F012</t>
  </si>
  <si>
    <t>VENTILADOR RECARGABLE 8" MULTIFUNCIONAL ROCCIA</t>
  </si>
  <si>
    <t>F014</t>
  </si>
  <si>
    <t>VENTILADOR INDUSTRIAL DE 24" AMARILLO DE ALTA VELOCIDAD MARCA ROCCIA</t>
  </si>
  <si>
    <t>F014N</t>
  </si>
  <si>
    <t>VENTILADOR INDUSTRIAL DE 24" NEGRO DE ALTA VELOCIDAD MARCA ROCCIA</t>
  </si>
  <si>
    <t>F016</t>
  </si>
  <si>
    <t>VENTILADOR 20" 3 EN 1 INDUSTRIAL</t>
  </si>
  <si>
    <t>F018</t>
  </si>
  <si>
    <t>VENTILADOR RECARGABLE CON ROCIADOR DE AGUA NEGRO MARCA ROCCIA</t>
  </si>
  <si>
    <t>F020</t>
  </si>
  <si>
    <t>VENTILADOR RECARGABLE 8" DE LUJO 2 EN 1</t>
  </si>
  <si>
    <t>F022</t>
  </si>
  <si>
    <t>VENTILADOR INDUSTRIAL DE 26" AEREO ROCIADOR DE AGUA GOOD QUALITY MARCA ROCCIA</t>
  </si>
  <si>
    <t>F023</t>
  </si>
  <si>
    <t>VENTILADOR RECARGABLE DE 10" DE TRIPODE CON ROCIADOR DE AGUA ROCCIA</t>
  </si>
  <si>
    <t>F024</t>
  </si>
  <si>
    <t>VENTILADOR INDUSTRIAL DE 26" PEDESTAL ROCIADOR DE AGUA GOOD QUALITY MARCA ROCCIA</t>
  </si>
  <si>
    <t>F025</t>
  </si>
  <si>
    <t>VENTILADOR INDUSTRIAL 30" DE ALTA VELOCIDAD MARCA ROCCIA</t>
  </si>
  <si>
    <t>F027</t>
  </si>
  <si>
    <t>VENTILADOR DE PARED 16¨ METAL PLASTICO CON CONTROL MARCA ROCCIA</t>
  </si>
  <si>
    <r>
      <rPr>
        <rFont val="Calibri, sans-serif"/>
        <b/>
        <color rgb="FF000000"/>
        <sz val="11.0"/>
      </rPr>
      <t xml:space="preserve">PRECIO $ </t>
    </r>
    <r>
      <rPr>
        <rFont val="Calibri, sans-serif"/>
        <b val="0"/>
        <color rgb="FF000000"/>
        <sz val="11.0"/>
      </rPr>
      <t>G3Multi</t>
    </r>
  </si>
  <si>
    <r>
      <rPr>
        <rFont val="Calibri, sans-serif"/>
        <b/>
        <color rgb="FF000000"/>
        <sz val="11.0"/>
      </rPr>
      <t xml:space="preserve">PRECIO $ </t>
    </r>
    <r>
      <rPr>
        <rFont val="Calibri, sans-serif"/>
        <b val="0"/>
        <color rgb="FF000000"/>
        <sz val="11.0"/>
      </rPr>
      <t>BCV</t>
    </r>
  </si>
  <si>
    <t>BCV</t>
  </si>
  <si>
    <t xml:space="preserve">Ganancia </t>
  </si>
  <si>
    <t>Binance</t>
  </si>
  <si>
    <t>Ganancia - Sin Ajuste</t>
  </si>
  <si>
    <t>% Venta</t>
  </si>
  <si>
    <t>COSTO</t>
  </si>
  <si>
    <t>Semana</t>
  </si>
  <si>
    <t>Fecha</t>
  </si>
  <si>
    <t>Monto</t>
  </si>
  <si>
    <t>Corresponde</t>
  </si>
  <si>
    <t>Referencia</t>
  </si>
  <si>
    <t>12/04 al 18/04</t>
  </si>
  <si>
    <t>13/04/2026</t>
  </si>
  <si>
    <t>19/04 al 25/04</t>
  </si>
  <si>
    <t>---</t>
  </si>
  <si>
    <t>26/04 al 02/05</t>
  </si>
  <si>
    <t>27/04/2026</t>
  </si>
  <si>
    <t>03/05 al 09/05</t>
  </si>
  <si>
    <t>10/05 al 16/05</t>
  </si>
  <si>
    <t>19/05/2026</t>
  </si>
  <si>
    <t>17/05 al 23/05</t>
  </si>
  <si>
    <t>26/05/2026</t>
  </si>
  <si>
    <t>24/05 al 30/05</t>
  </si>
  <si>
    <t>31/05 al 06/06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</si>
</sst>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&quot;$&quot;* #,##0.00_);_(&quot;$&quot;* \(#,##0.00\);_(&quot;$&quot;* &quot;-&quot;??_);_(@_)"/>
    <numFmt numFmtId="165" formatCode="dd&quot;/&quot;mm&quot;/&quot;yyyy&quot; -  &quot;hh&quot;:&quot;mm&quot; &quot;am/pm"/>
    <numFmt numFmtId="166" formatCode="mm&quot;/&quot;dd&quot;/&quot;yyyy"/>
    <numFmt numFmtId="167" formatCode="[$Bs]#,##0.00"/>
  </numFmts>
  <fonts count="9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0.0"/>
      <color rgb="FF000000"/>
      <name val="Calibri"/>
    </font>
    <font>
      <b/>
      <color theme="1"/>
      <name val="Arial"/>
      <scheme val="minor"/>
    </font>
    <font>
      <sz val="10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sz val="10.0"/>
      <color theme="1"/>
      <name val="Arial"/>
      <scheme val="minor"/>
    </font>
    <font>
      <sz val="9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63D297"/>
        <bgColor rgb="FF63D297"/>
      </patternFill>
    </fill>
    <fill>
      <patternFill patternType="solid">
        <fgColor rgb="FFF46524"/>
        <bgColor rgb="FFF46524"/>
      </patternFill>
    </fill>
    <fill>
      <patternFill patternType="solid">
        <fgColor rgb="FFE7F9EF"/>
        <bgColor rgb="FFE7F9EF"/>
      </patternFill>
    </fill>
    <fill>
      <patternFill patternType="solid">
        <fgColor rgb="FFFFE6DD"/>
        <bgColor rgb="FFFFE6DD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2" fontId="1" numFmtId="164" xfId="0" applyAlignment="1" applyFill="1" applyFont="1" applyNumberFormat="1">
      <alignment horizontal="center" readingOrder="0" shrinkToFit="0" vertical="center" wrapText="1"/>
    </xf>
    <xf borderId="0" fillId="2" fontId="1" numFmtId="164" xfId="0" applyAlignment="1" applyFont="1" applyNumberFormat="1">
      <alignment horizontal="center" readingOrder="0" shrinkToFit="0" vertical="center" wrapText="0"/>
    </xf>
    <xf borderId="0" fillId="3" fontId="3" numFmtId="164" xfId="0" applyAlignment="1" applyFill="1" applyFont="1" applyNumberForma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1"/>
    </xf>
    <xf borderId="0" fillId="4" fontId="6" numFmtId="164" xfId="0" applyAlignment="1" applyFill="1" applyFont="1" applyNumberFormat="1">
      <alignment horizontal="center" shrinkToFit="0" wrapText="1"/>
    </xf>
    <xf borderId="0" fillId="4" fontId="6" numFmtId="164" xfId="0" applyAlignment="1" applyFont="1" applyNumberFormat="1">
      <alignment horizontal="center"/>
    </xf>
    <xf borderId="0" fillId="5" fontId="6" numFmtId="164" xfId="0" applyAlignment="1" applyFill="1" applyFont="1" applyNumberFormat="1">
      <alignment horizontal="center"/>
    </xf>
    <xf borderId="0" fillId="0" fontId="3" numFmtId="0" xfId="0" applyFont="1"/>
    <xf borderId="0" fillId="4" fontId="6" numFmtId="164" xfId="0" applyAlignment="1" applyFont="1" applyNumberFormat="1">
      <alignment horizontal="center" readingOrder="0" shrinkToFit="0" wrapText="1"/>
    </xf>
    <xf borderId="0" fillId="0" fontId="7" numFmtId="0" xfId="0" applyAlignment="1" applyFont="1">
      <alignment horizontal="center"/>
    </xf>
    <xf borderId="0" fillId="0" fontId="7" numFmtId="0" xfId="0" applyFont="1"/>
    <xf borderId="0" fillId="0" fontId="6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0" fillId="5" fontId="6" numFmtId="0" xfId="0" applyAlignment="1" applyFont="1">
      <alignment readingOrder="0"/>
    </xf>
    <xf borderId="0" fillId="5" fontId="6" numFmtId="2" xfId="0" applyAlignment="1" applyFont="1" applyNumberFormat="1">
      <alignment readingOrder="0"/>
    </xf>
    <xf borderId="0" fillId="0" fontId="6" numFmtId="165" xfId="0" applyAlignment="1" applyFont="1" applyNumberFormat="1">
      <alignment horizontal="center" readingOrder="0"/>
    </xf>
    <xf borderId="0" fillId="2" fontId="6" numFmtId="0" xfId="0" applyAlignment="1" applyFont="1">
      <alignment horizontal="center" readingOrder="0"/>
    </xf>
    <xf borderId="0" fillId="2" fontId="6" numFmtId="10" xfId="0" applyAlignment="1" applyFont="1" applyNumberFormat="1">
      <alignment readingOrder="0"/>
    </xf>
    <xf borderId="0" fillId="4" fontId="6" numFmtId="0" xfId="0" applyAlignment="1" applyFont="1">
      <alignment readingOrder="0"/>
    </xf>
    <xf borderId="0" fillId="4" fontId="6" numFmtId="2" xfId="0" applyAlignment="1" applyFont="1" applyNumberFormat="1">
      <alignment readingOrder="0"/>
    </xf>
    <xf borderId="0" fillId="2" fontId="3" numFmtId="0" xfId="0" applyAlignment="1" applyFont="1">
      <alignment readingOrder="0"/>
    </xf>
    <xf borderId="0" fillId="2" fontId="3" numFmtId="2" xfId="0" applyFont="1" applyNumberFormat="1"/>
    <xf borderId="0" fillId="0" fontId="6" numFmtId="14" xfId="0" applyAlignment="1" applyFont="1" applyNumberFormat="1">
      <alignment readingOrder="0"/>
    </xf>
    <xf borderId="0" fillId="0" fontId="6" numFmtId="2" xfId="0" applyFont="1" applyNumberFormat="1"/>
    <xf borderId="0" fillId="0" fontId="1" numFmtId="0" xfId="0" applyAlignment="1" applyFont="1">
      <alignment horizontal="center" readingOrder="0" shrinkToFit="0" vertical="bottom" wrapText="0"/>
    </xf>
    <xf borderId="0" fillId="0" fontId="1" numFmtId="4" xfId="0" applyAlignment="1" applyFont="1" applyNumberFormat="1">
      <alignment horizontal="center" readingOrder="0" shrinkToFit="0" vertical="bottom" wrapText="0"/>
    </xf>
    <xf borderId="1" fillId="6" fontId="8" numFmtId="0" xfId="0" applyAlignment="1" applyBorder="1" applyFill="1" applyFont="1">
      <alignment horizontal="left" readingOrder="0"/>
    </xf>
    <xf borderId="1" fillId="6" fontId="8" numFmtId="0" xfId="0" applyAlignment="1" applyBorder="1" applyFont="1">
      <alignment horizontal="center" readingOrder="0" shrinkToFit="0" wrapText="0"/>
    </xf>
    <xf borderId="1" fillId="6" fontId="8" numFmtId="4" xfId="0" applyAlignment="1" applyBorder="1" applyFont="1" applyNumberFormat="1">
      <alignment horizontal="right" readingOrder="0" shrinkToFit="0" wrapText="0"/>
    </xf>
    <xf borderId="1" fillId="7" fontId="8" numFmtId="0" xfId="0" applyAlignment="1" applyBorder="1" applyFill="1" applyFont="1">
      <alignment horizontal="left" readingOrder="0"/>
    </xf>
    <xf borderId="1" fillId="7" fontId="8" numFmtId="0" xfId="0" applyAlignment="1" applyBorder="1" applyFont="1">
      <alignment horizontal="center" readingOrder="0" shrinkToFit="0" wrapText="0"/>
    </xf>
    <xf borderId="1" fillId="7" fontId="8" numFmtId="4" xfId="0" applyAlignment="1" applyBorder="1" applyFont="1" applyNumberFormat="1">
      <alignment horizontal="right" readingOrder="0" shrinkToFit="0" wrapText="0"/>
    </xf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4" xfId="0" applyAlignment="1" applyFont="1" applyNumberFormat="1">
      <alignment horizontal="center" readingOrder="0" shrinkToFit="0" vertical="bottom" wrapText="0"/>
    </xf>
    <xf borderId="0" fillId="0" fontId="6" numFmtId="0" xfId="0" applyAlignment="1" applyFont="1">
      <alignment horizontal="center"/>
    </xf>
    <xf borderId="0" fillId="0" fontId="6" numFmtId="4" xfId="0" applyAlignment="1" applyFont="1" applyNumberFormat="1">
      <alignment horizontal="center"/>
    </xf>
    <xf borderId="0" fillId="0" fontId="6" numFmtId="0" xfId="0" applyAlignment="1" applyFont="1">
      <alignment horizontal="center" readingOrder="0"/>
    </xf>
    <xf borderId="0" fillId="0" fontId="6" numFmtId="166" xfId="0" applyAlignment="1" applyFont="1" applyNumberFormat="1">
      <alignment horizontal="center" readingOrder="0"/>
    </xf>
    <xf borderId="0" fillId="0" fontId="6" numFmtId="167" xfId="0" applyAlignment="1" applyFont="1" applyNumberFormat="1">
      <alignment horizontal="center" readingOrder="0"/>
    </xf>
    <xf borderId="0" fillId="0" fontId="6" numFmtId="164" xfId="0" applyAlignment="1" applyFont="1" applyNumberFormat="1">
      <alignment horizontal="center" readingOrder="0"/>
    </xf>
    <xf borderId="0" fillId="0" fontId="6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D297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5"/>
    <col customWidth="1" min="2" max="2" width="9.13"/>
    <col customWidth="1" min="3" max="3" width="74.25"/>
    <col customWidth="1" min="4" max="7" width="10.88"/>
    <col customWidth="1" min="8" max="8" width="13.75"/>
    <col customWidth="1" min="9" max="9" width="12.25"/>
    <col customWidth="1" min="10" max="10" width="16.38"/>
    <col customWidth="1" min="11" max="11" width="9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tr">
        <f t="array" ref="A2:C997">Roccia!A2:C997</f>
        <v>ARTÍCULOS DE COCINA</v>
      </c>
      <c r="B2" s="9" t="s">
        <v>11</v>
      </c>
      <c r="C2" s="10" t="s">
        <v>12</v>
      </c>
      <c r="D2" s="11">
        <f t="shared" ref="D2:E2" si="1">IF(MOD(F2, 5) &lt;= 2.5, FLOOR(F2, 5), CEILING(F2, 5))</f>
        <v>145</v>
      </c>
      <c r="E2" s="11">
        <f t="shared" si="1"/>
        <v>215</v>
      </c>
      <c r="F2" s="11">
        <f>IFERROR((VLOOKUP(B2, Roccia!$B$2:$D997, 3, FALSE)*(1+Datos!$E$1)), "Revisar")</f>
        <v>143.403</v>
      </c>
      <c r="G2" s="11">
        <f>IFERROR(F2*Datos!$B$3, "Revisar")</f>
        <v>215.1045</v>
      </c>
      <c r="H2" s="12">
        <f>IFERROR(G2*Datos!$B$1, "Revisar")</f>
        <v>124232.7651</v>
      </c>
      <c r="I2" s="13">
        <f>IFERROR((VLOOKUP(B2, Roccia!$B$2:$D997, 3, FALSE) /(1-Datos!$E$1)), "Revisar")</f>
        <v>157.5857143</v>
      </c>
      <c r="J2" s="13">
        <f>IFERROR(I2*Datos!$B$3, "Revisar")</f>
        <v>236.3785714</v>
      </c>
      <c r="K2" s="13">
        <f t="shared" ref="K2:K517" si="3">IFERROR(J2-G2, "Revisar")</f>
        <v>21.27407143</v>
      </c>
      <c r="L2" s="14"/>
    </row>
    <row r="3">
      <c r="A3" s="8" t="s">
        <v>13</v>
      </c>
      <c r="B3" s="9" t="s">
        <v>14</v>
      </c>
      <c r="C3" s="10" t="s">
        <v>15</v>
      </c>
      <c r="D3" s="11">
        <f t="shared" ref="D3:E3" si="2">IF(MOD(F3, 5) &lt;= 2.5, FLOOR(F3, 5), CEILING(F3, 5))</f>
        <v>45</v>
      </c>
      <c r="E3" s="11">
        <f t="shared" si="2"/>
        <v>70</v>
      </c>
      <c r="F3" s="11">
        <f>IFERROR((VLOOKUP(B3, Roccia!$B$2:$D997, 3, FALSE)*(1+Datos!$E$1)), "Revisar")</f>
        <v>46.982</v>
      </c>
      <c r="G3" s="11">
        <f>IFERROR(F3*Datos!$B$3, "Revisar")</f>
        <v>70.473</v>
      </c>
      <c r="H3" s="12">
        <f>IFERROR(G3*Datos!$B$1, "Revisar")</f>
        <v>40701.40631</v>
      </c>
      <c r="I3" s="13">
        <f>IFERROR((VLOOKUP(B3, Roccia!$B$2:$D997, 3, FALSE) /(1-Datos!$E$1)), "Revisar")</f>
        <v>51.62857143</v>
      </c>
      <c r="J3" s="13">
        <f>IFERROR(I3*Datos!$B$3, "Revisar")</f>
        <v>77.44285714</v>
      </c>
      <c r="K3" s="13">
        <f t="shared" si="3"/>
        <v>6.969857143</v>
      </c>
    </row>
    <row r="4">
      <c r="A4" s="8" t="s">
        <v>13</v>
      </c>
      <c r="B4" s="9" t="s">
        <v>16</v>
      </c>
      <c r="C4" s="10" t="s">
        <v>17</v>
      </c>
      <c r="D4" s="11">
        <f t="shared" ref="D4:E4" si="4">IF(MOD(F4, 5) &lt;= 2.5, FLOOR(F4, 5), CEILING(F4, 5))</f>
        <v>30</v>
      </c>
      <c r="E4" s="11">
        <f t="shared" si="4"/>
        <v>40</v>
      </c>
      <c r="F4" s="11">
        <f>IFERROR((VLOOKUP(B4, Roccia!$B$2:$D997, 3, FALSE)*(1+Datos!$E$1)), "Revisar")</f>
        <v>28.041</v>
      </c>
      <c r="G4" s="11">
        <f>IFERROR(F4*Datos!$B$3, "Revisar")</f>
        <v>42.0615</v>
      </c>
      <c r="H4" s="12">
        <f>IFERROR(G4*Datos!$B$1, "Revisar")</f>
        <v>24292.45529</v>
      </c>
      <c r="I4" s="13">
        <f>IFERROR((VLOOKUP(B4, Roccia!$B$2:$D997, 3, FALSE) /(1-Datos!$E$1)), "Revisar")</f>
        <v>30.81428571</v>
      </c>
      <c r="J4" s="13">
        <f>IFERROR(I4*Datos!$B$3, "Revisar")</f>
        <v>46.22142857</v>
      </c>
      <c r="K4" s="13">
        <f t="shared" si="3"/>
        <v>4.159928571</v>
      </c>
    </row>
    <row r="5">
      <c r="A5" s="8" t="s">
        <v>13</v>
      </c>
      <c r="B5" s="9" t="s">
        <v>18</v>
      </c>
      <c r="C5" s="10" t="s">
        <v>19</v>
      </c>
      <c r="D5" s="11">
        <f t="shared" ref="D5:E5" si="5">IF(MOD(F5, 5) &lt;= 2.5, FLOOR(F5, 5), CEILING(F5, 5))</f>
        <v>115</v>
      </c>
      <c r="E5" s="11">
        <f t="shared" si="5"/>
        <v>170</v>
      </c>
      <c r="F5" s="11">
        <f>IFERROR((VLOOKUP(B5, Roccia!$B$2:$D997, 3, FALSE)*(1+Datos!$E$1)), "Revisar")</f>
        <v>113.815</v>
      </c>
      <c r="G5" s="11">
        <f>IFERROR(F5*Datos!$B$3, "Revisar")</f>
        <v>170.7225</v>
      </c>
      <c r="H5" s="12">
        <f>IFERROR(G5*Datos!$B$1, "Revisar")</f>
        <v>98600.11406</v>
      </c>
      <c r="I5" s="13">
        <f>IFERROR((VLOOKUP(B5, Roccia!$B$2:$D997, 3, FALSE) /(1-Datos!$E$1)), "Revisar")</f>
        <v>125.0714286</v>
      </c>
      <c r="J5" s="13">
        <f>IFERROR(I5*Datos!$B$3, "Revisar")</f>
        <v>187.6071429</v>
      </c>
      <c r="K5" s="13">
        <f t="shared" si="3"/>
        <v>16.88464286</v>
      </c>
    </row>
    <row r="6">
      <c r="A6" s="8" t="s">
        <v>13</v>
      </c>
      <c r="B6" s="9" t="s">
        <v>20</v>
      </c>
      <c r="C6" s="10" t="s">
        <v>21</v>
      </c>
      <c r="D6" s="11">
        <f t="shared" ref="D6:E6" si="6">IF(MOD(F6, 5) &lt;= 2.5, FLOOR(F6, 5), CEILING(F6, 5))</f>
        <v>15</v>
      </c>
      <c r="E6" s="11">
        <f t="shared" si="6"/>
        <v>20</v>
      </c>
      <c r="F6" s="11">
        <f>IFERROR((VLOOKUP(B6, Roccia!$B$2:$D997, 3, FALSE)*(1+Datos!$E$1)), "Revisar")</f>
        <v>14.287</v>
      </c>
      <c r="G6" s="11">
        <f>IFERROR(F6*Datos!$B$3, "Revisar")</f>
        <v>21.4305</v>
      </c>
      <c r="H6" s="12">
        <f>IFERROR(G6*Datos!$B$1, "Revisar")</f>
        <v>12377.1017</v>
      </c>
      <c r="I6" s="13">
        <f>IFERROR((VLOOKUP(B6, Roccia!$B$2:$D997, 3, FALSE) /(1-Datos!$E$1)), "Revisar")</f>
        <v>15.7</v>
      </c>
      <c r="J6" s="13">
        <f>IFERROR(I6*Datos!$B$3, "Revisar")</f>
        <v>23.55</v>
      </c>
      <c r="K6" s="13">
        <f t="shared" si="3"/>
        <v>2.1195</v>
      </c>
    </row>
    <row r="7">
      <c r="A7" s="8" t="s">
        <v>13</v>
      </c>
      <c r="B7" s="9" t="s">
        <v>22</v>
      </c>
      <c r="C7" s="10" t="s">
        <v>23</v>
      </c>
      <c r="D7" s="11">
        <f t="shared" ref="D7:E7" si="7">IF(MOD(F7, 5) &lt;= 2.5, FLOOR(F7, 5), CEILING(F7, 5))</f>
        <v>15</v>
      </c>
      <c r="E7" s="11">
        <f t="shared" si="7"/>
        <v>20</v>
      </c>
      <c r="F7" s="11">
        <f>IFERROR((VLOOKUP(B7, Roccia!$B$2:$D997, 3, FALSE)*(1+Datos!$E$1)), "Revisar")</f>
        <v>14.3</v>
      </c>
      <c r="G7" s="11">
        <f>IFERROR(F7*Datos!$B$3, "Revisar")</f>
        <v>21.45</v>
      </c>
      <c r="H7" s="12">
        <f>IFERROR(G7*Datos!$B$1, "Revisar")</f>
        <v>12388.36385</v>
      </c>
      <c r="I7" s="13">
        <f>IFERROR((VLOOKUP(B7, Roccia!$B$2:$D997, 3, FALSE) /(1-Datos!$E$1)), "Revisar")</f>
        <v>15.71428571</v>
      </c>
      <c r="J7" s="13">
        <f>IFERROR(I7*Datos!$B$3, "Revisar")</f>
        <v>23.57142857</v>
      </c>
      <c r="K7" s="13">
        <f t="shared" si="3"/>
        <v>2.121428571</v>
      </c>
    </row>
    <row r="8">
      <c r="A8" s="8" t="s">
        <v>13</v>
      </c>
      <c r="B8" s="9" t="s">
        <v>24</v>
      </c>
      <c r="C8" s="10" t="s">
        <v>25</v>
      </c>
      <c r="D8" s="11">
        <f t="shared" ref="D8:E8" si="8">IF(MOD(F8, 5) &lt;= 2.5, FLOOR(F8, 5), CEILING(F8, 5))</f>
        <v>15</v>
      </c>
      <c r="E8" s="11">
        <f t="shared" si="8"/>
        <v>20</v>
      </c>
      <c r="F8" s="11">
        <f>IFERROR((VLOOKUP(B8, Roccia!$B$2:$D997, 3, FALSE)*(1+Datos!$E$1)), "Revisar")</f>
        <v>14.3</v>
      </c>
      <c r="G8" s="11">
        <f>IFERROR(F8*Datos!$B$3, "Revisar")</f>
        <v>21.45</v>
      </c>
      <c r="H8" s="12">
        <f>IFERROR(G8*Datos!$B$1, "Revisar")</f>
        <v>12388.36385</v>
      </c>
      <c r="I8" s="13">
        <f>IFERROR((VLOOKUP(B8, Roccia!$B$2:$D997, 3, FALSE) /(1-Datos!$E$1)), "Revisar")</f>
        <v>15.71428571</v>
      </c>
      <c r="J8" s="13">
        <f>IFERROR(I8*Datos!$B$3, "Revisar")</f>
        <v>23.57142857</v>
      </c>
      <c r="K8" s="13">
        <f t="shared" si="3"/>
        <v>2.121428571</v>
      </c>
    </row>
    <row r="9">
      <c r="A9" s="8" t="s">
        <v>13</v>
      </c>
      <c r="B9" s="9" t="s">
        <v>26</v>
      </c>
      <c r="C9" s="10" t="s">
        <v>27</v>
      </c>
      <c r="D9" s="11">
        <f t="shared" ref="D9:E9" si="9">IF(MOD(F9, 5) &lt;= 2.5, FLOOR(F9, 5), CEILING(F9, 5))</f>
        <v>15</v>
      </c>
      <c r="E9" s="11">
        <f t="shared" si="9"/>
        <v>20</v>
      </c>
      <c r="F9" s="11">
        <f>IFERROR((VLOOKUP(B9, Roccia!$B$2:$D997, 3, FALSE)*(1+Datos!$E$1)), "Revisar")</f>
        <v>14.3</v>
      </c>
      <c r="G9" s="11">
        <f>IFERROR(F9*Datos!$B$3, "Revisar")</f>
        <v>21.45</v>
      </c>
      <c r="H9" s="12">
        <f>IFERROR(G9*Datos!$B$1, "Revisar")</f>
        <v>12388.36385</v>
      </c>
      <c r="I9" s="13">
        <f>IFERROR((VLOOKUP(B9, Roccia!$B$2:$D997, 3, FALSE) /(1-Datos!$E$1)), "Revisar")</f>
        <v>15.71428571</v>
      </c>
      <c r="J9" s="13">
        <f>IFERROR(I9*Datos!$B$3, "Revisar")</f>
        <v>23.57142857</v>
      </c>
      <c r="K9" s="13">
        <f t="shared" si="3"/>
        <v>2.121428571</v>
      </c>
    </row>
    <row r="10">
      <c r="A10" s="8" t="s">
        <v>13</v>
      </c>
      <c r="B10" s="9" t="s">
        <v>28</v>
      </c>
      <c r="C10" s="10" t="s">
        <v>29</v>
      </c>
      <c r="D10" s="11">
        <f t="shared" ref="D10:E10" si="10">IF(MOD(F10, 5) &lt;= 2.5, FLOOR(F10, 5), CEILING(F10, 5))</f>
        <v>15</v>
      </c>
      <c r="E10" s="11">
        <f t="shared" si="10"/>
        <v>20</v>
      </c>
      <c r="F10" s="11">
        <f>IFERROR((VLOOKUP(B10, Roccia!$B$2:$D997, 3, FALSE)*(1+Datos!$E$1)), "Revisar")</f>
        <v>14.3</v>
      </c>
      <c r="G10" s="11">
        <f>IFERROR(F10*Datos!$B$3, "Revisar")</f>
        <v>21.45</v>
      </c>
      <c r="H10" s="12">
        <f>IFERROR(G10*Datos!$B$1, "Revisar")</f>
        <v>12388.36385</v>
      </c>
      <c r="I10" s="13">
        <f>IFERROR((VLOOKUP(B10, Roccia!$B$2:$D997, 3, FALSE) /(1-Datos!$E$1)), "Revisar")</f>
        <v>15.71428571</v>
      </c>
      <c r="J10" s="13">
        <f>IFERROR(I10*Datos!$B$3, "Revisar")</f>
        <v>23.57142857</v>
      </c>
      <c r="K10" s="13">
        <f t="shared" si="3"/>
        <v>2.121428571</v>
      </c>
    </row>
    <row r="11">
      <c r="A11" s="8" t="s">
        <v>13</v>
      </c>
      <c r="B11" s="9" t="s">
        <v>30</v>
      </c>
      <c r="C11" s="10" t="s">
        <v>31</v>
      </c>
      <c r="D11" s="11">
        <f t="shared" ref="D11:E11" si="11">IF(MOD(F11, 5) &lt;= 2.5, FLOOR(F11, 5), CEILING(F11, 5))</f>
        <v>40</v>
      </c>
      <c r="E11" s="11">
        <f t="shared" si="11"/>
        <v>60</v>
      </c>
      <c r="F11" s="11">
        <f>IFERROR((VLOOKUP(B11, Roccia!$B$2:$D997, 3, FALSE)*(1+Datos!$E$1)), "Revisar")</f>
        <v>40.183</v>
      </c>
      <c r="G11" s="11">
        <f>IFERROR(F11*Datos!$B$3, "Revisar")</f>
        <v>60.2745</v>
      </c>
      <c r="H11" s="12">
        <f>IFERROR(G11*Datos!$B$1, "Revisar")</f>
        <v>34811.3024</v>
      </c>
      <c r="I11" s="13">
        <f>IFERROR((VLOOKUP(B11, Roccia!$B$2:$D997, 3, FALSE) /(1-Datos!$E$1)), "Revisar")</f>
        <v>44.15714286</v>
      </c>
      <c r="J11" s="13">
        <f>IFERROR(I11*Datos!$B$3, "Revisar")</f>
        <v>66.23571429</v>
      </c>
      <c r="K11" s="13">
        <f t="shared" si="3"/>
        <v>5.961214286</v>
      </c>
    </row>
    <row r="12">
      <c r="A12" s="8" t="s">
        <v>13</v>
      </c>
      <c r="B12" s="9" t="s">
        <v>32</v>
      </c>
      <c r="C12" s="10" t="s">
        <v>33</v>
      </c>
      <c r="D12" s="11">
        <f t="shared" ref="D12:E12" si="12">IF(MOD(F12, 5) &lt;= 2.5, FLOOR(F12, 5), CEILING(F12, 5))</f>
        <v>20</v>
      </c>
      <c r="E12" s="11">
        <f t="shared" si="12"/>
        <v>30</v>
      </c>
      <c r="F12" s="11">
        <f>IFERROR((VLOOKUP(B12, Roccia!$B$2:$D997, 3, FALSE)*(1+Datos!$E$1)), "Revisar")</f>
        <v>19.5</v>
      </c>
      <c r="G12" s="11">
        <f>IFERROR(F12*Datos!$B$3, "Revisar")</f>
        <v>29.25</v>
      </c>
      <c r="H12" s="12">
        <f>IFERROR(G12*Datos!$B$1, "Revisar")</f>
        <v>16893.22343</v>
      </c>
      <c r="I12" s="13">
        <f>IFERROR((VLOOKUP(B12, Roccia!$B$2:$D997, 3, FALSE) /(1-Datos!$E$1)), "Revisar")</f>
        <v>21.42857143</v>
      </c>
      <c r="J12" s="13">
        <f>IFERROR(I12*Datos!$B$3, "Revisar")</f>
        <v>32.14285714</v>
      </c>
      <c r="K12" s="13">
        <f t="shared" si="3"/>
        <v>2.892857143</v>
      </c>
    </row>
    <row r="13">
      <c r="A13" s="8" t="s">
        <v>13</v>
      </c>
      <c r="B13" s="9" t="s">
        <v>34</v>
      </c>
      <c r="C13" s="10" t="s">
        <v>35</v>
      </c>
      <c r="D13" s="11">
        <f t="shared" ref="D13:E13" si="13">IF(MOD(F13, 5) &lt;= 2.5, FLOOR(F13, 5), CEILING(F13, 5))</f>
        <v>130</v>
      </c>
      <c r="E13" s="11">
        <f t="shared" si="13"/>
        <v>195</v>
      </c>
      <c r="F13" s="11">
        <f>IFERROR((VLOOKUP(B13, Roccia!$B$2:$D997, 3, FALSE)*(1+Datos!$E$1)), "Revisar")</f>
        <v>131.001</v>
      </c>
      <c r="G13" s="11">
        <f>IFERROR(F13*Datos!$B$3, "Revisar")</f>
        <v>196.5015</v>
      </c>
      <c r="H13" s="12">
        <f>IFERROR(G13*Datos!$B$1, "Revisar")</f>
        <v>113488.675</v>
      </c>
      <c r="I13" s="13">
        <f>IFERROR((VLOOKUP(B13, Roccia!$B$2:$D997, 3, FALSE) /(1-Datos!$E$1)), "Revisar")</f>
        <v>143.9571429</v>
      </c>
      <c r="J13" s="13">
        <f>IFERROR(I13*Datos!$B$3, "Revisar")</f>
        <v>215.9357143</v>
      </c>
      <c r="K13" s="13">
        <f t="shared" si="3"/>
        <v>19.43421429</v>
      </c>
    </row>
    <row r="14">
      <c r="A14" s="8" t="s">
        <v>13</v>
      </c>
      <c r="B14" s="9" t="s">
        <v>36</v>
      </c>
      <c r="C14" s="10" t="s">
        <v>37</v>
      </c>
      <c r="D14" s="11">
        <f t="shared" ref="D14:E14" si="14">IF(MOD(F14, 5) &lt;= 2.5, FLOOR(F14, 5), CEILING(F14, 5))</f>
        <v>120</v>
      </c>
      <c r="E14" s="11">
        <f t="shared" si="14"/>
        <v>175</v>
      </c>
      <c r="F14" s="11">
        <f>IFERROR((VLOOKUP(B14, Roccia!$B$2:$D997, 3, FALSE)*(1+Datos!$E$1)), "Revisar")</f>
        <v>117.741</v>
      </c>
      <c r="G14" s="11">
        <f>IFERROR(F14*Datos!$B$3, "Revisar")</f>
        <v>176.6115</v>
      </c>
      <c r="H14" s="12">
        <f>IFERROR(G14*Datos!$B$1, "Revisar")</f>
        <v>102001.283</v>
      </c>
      <c r="I14" s="13">
        <f>IFERROR((VLOOKUP(B14, Roccia!$B$2:$D997, 3, FALSE) /(1-Datos!$E$1)), "Revisar")</f>
        <v>129.3857143</v>
      </c>
      <c r="J14" s="13">
        <f>IFERROR(I14*Datos!$B$3, "Revisar")</f>
        <v>194.0785714</v>
      </c>
      <c r="K14" s="13">
        <f t="shared" si="3"/>
        <v>17.46707143</v>
      </c>
    </row>
    <row r="15">
      <c r="A15" s="8" t="s">
        <v>13</v>
      </c>
      <c r="B15" s="9" t="s">
        <v>38</v>
      </c>
      <c r="C15" s="10" t="s">
        <v>39</v>
      </c>
      <c r="D15" s="11">
        <f t="shared" ref="D15:E15" si="15">IF(MOD(F15, 5) &lt;= 2.5, FLOOR(F15, 5), CEILING(F15, 5))</f>
        <v>120</v>
      </c>
      <c r="E15" s="11">
        <f t="shared" si="15"/>
        <v>180</v>
      </c>
      <c r="F15" s="11">
        <f>IFERROR((VLOOKUP(B15, Roccia!$B$2:$D997, 3, FALSE)*(1+Datos!$E$1)), "Revisar")</f>
        <v>119.08</v>
      </c>
      <c r="G15" s="11">
        <f>IFERROR(F15*Datos!$B$3, "Revisar")</f>
        <v>178.62</v>
      </c>
      <c r="H15" s="12">
        <f>IFERROR(G15*Datos!$B$1, "Revisar")</f>
        <v>103161.2844</v>
      </c>
      <c r="I15" s="13">
        <f>IFERROR((VLOOKUP(B15, Roccia!$B$2:$D997, 3, FALSE) /(1-Datos!$E$1)), "Revisar")</f>
        <v>130.8571429</v>
      </c>
      <c r="J15" s="13">
        <f>IFERROR(I15*Datos!$B$3, "Revisar")</f>
        <v>196.2857143</v>
      </c>
      <c r="K15" s="13">
        <f t="shared" si="3"/>
        <v>17.66571429</v>
      </c>
    </row>
    <row r="16">
      <c r="A16" s="8" t="s">
        <v>13</v>
      </c>
      <c r="B16" s="9" t="s">
        <v>40</v>
      </c>
      <c r="C16" s="10" t="s">
        <v>41</v>
      </c>
      <c r="D16" s="11">
        <f t="shared" ref="D16:E16" si="16">IF(MOD(F16, 5) &lt;= 2.5, FLOOR(F16, 5), CEILING(F16, 5))</f>
        <v>120</v>
      </c>
      <c r="E16" s="11">
        <f t="shared" si="16"/>
        <v>180</v>
      </c>
      <c r="F16" s="11">
        <f>IFERROR((VLOOKUP(B16, Roccia!$B$2:$D997, 3, FALSE)*(1+Datos!$E$1)), "Revisar")</f>
        <v>119.08</v>
      </c>
      <c r="G16" s="11">
        <f>IFERROR(F16*Datos!$B$3, "Revisar")</f>
        <v>178.62</v>
      </c>
      <c r="H16" s="12">
        <f>IFERROR(G16*Datos!$B$1, "Revisar")</f>
        <v>103161.2844</v>
      </c>
      <c r="I16" s="13">
        <f>IFERROR((VLOOKUP(B16, Roccia!$B$2:$D997, 3, FALSE) /(1-Datos!$E$1)), "Revisar")</f>
        <v>130.8571429</v>
      </c>
      <c r="J16" s="13">
        <f>IFERROR(I16*Datos!$B$3, "Revisar")</f>
        <v>196.2857143</v>
      </c>
      <c r="K16" s="13">
        <f t="shared" si="3"/>
        <v>17.66571429</v>
      </c>
    </row>
    <row r="17">
      <c r="A17" s="8" t="s">
        <v>42</v>
      </c>
      <c r="B17" s="9" t="s">
        <v>43</v>
      </c>
      <c r="C17" s="10" t="s">
        <v>44</v>
      </c>
      <c r="D17" s="11">
        <f t="shared" ref="D17:E17" si="17">IF(MOD(F17, 5) &lt;= 2.5, FLOOR(F17, 5), CEILING(F17, 5))</f>
        <v>55</v>
      </c>
      <c r="E17" s="11">
        <f t="shared" si="17"/>
        <v>80</v>
      </c>
      <c r="F17" s="11">
        <f>IFERROR((VLOOKUP(B17, Roccia!$B$2:$D997, 3, FALSE)*(1+Datos!$E$1)), "Revisar")</f>
        <v>52.663</v>
      </c>
      <c r="G17" s="11">
        <f>IFERROR(F17*Datos!$B$3, "Revisar")</f>
        <v>78.9945</v>
      </c>
      <c r="H17" s="12">
        <f>IFERROR(G17*Datos!$B$1, "Revisar")</f>
        <v>45622.9654</v>
      </c>
      <c r="I17" s="13">
        <f>IFERROR((VLOOKUP(B17, Roccia!$B$2:$D997, 3, FALSE) /(1-Datos!$E$1)), "Revisar")</f>
        <v>57.87142857</v>
      </c>
      <c r="J17" s="13">
        <f>IFERROR(I17*Datos!$B$3, "Revisar")</f>
        <v>86.80714286</v>
      </c>
      <c r="K17" s="13">
        <f t="shared" si="3"/>
        <v>7.812642857</v>
      </c>
    </row>
    <row r="18">
      <c r="A18" s="8" t="s">
        <v>42</v>
      </c>
      <c r="B18" s="9" t="s">
        <v>45</v>
      </c>
      <c r="C18" s="10" t="s">
        <v>46</v>
      </c>
      <c r="D18" s="11">
        <f t="shared" ref="D18:E18" si="18">IF(MOD(F18, 5) &lt;= 2.5, FLOOR(F18, 5), CEILING(F18, 5))</f>
        <v>55</v>
      </c>
      <c r="E18" s="11">
        <f t="shared" si="18"/>
        <v>85</v>
      </c>
      <c r="F18" s="11">
        <f>IFERROR((VLOOKUP(B18, Roccia!$B$2:$D997, 3, FALSE)*(1+Datos!$E$1)), "Revisar")</f>
        <v>56.771</v>
      </c>
      <c r="G18" s="11">
        <f>IFERROR(F18*Datos!$B$3, "Revisar")</f>
        <v>85.1565</v>
      </c>
      <c r="H18" s="12">
        <f>IFERROR(G18*Datos!$B$1, "Revisar")</f>
        <v>49181.80446</v>
      </c>
      <c r="I18" s="13">
        <f>IFERROR((VLOOKUP(B18, Roccia!$B$2:$D997, 3, FALSE) /(1-Datos!$E$1)), "Revisar")</f>
        <v>62.38571429</v>
      </c>
      <c r="J18" s="13">
        <f>IFERROR(I18*Datos!$B$3, "Revisar")</f>
        <v>93.57857143</v>
      </c>
      <c r="K18" s="13">
        <f t="shared" si="3"/>
        <v>8.422071429</v>
      </c>
    </row>
    <row r="19">
      <c r="A19" s="8" t="s">
        <v>42</v>
      </c>
      <c r="B19" s="9" t="s">
        <v>47</v>
      </c>
      <c r="C19" s="10" t="s">
        <v>48</v>
      </c>
      <c r="D19" s="11">
        <f t="shared" ref="D19:E19" si="19">IF(MOD(F19, 5) &lt;= 2.5, FLOOR(F19, 5), CEILING(F19, 5))</f>
        <v>55</v>
      </c>
      <c r="E19" s="11">
        <f t="shared" si="19"/>
        <v>80</v>
      </c>
      <c r="F19" s="11">
        <f>IFERROR((VLOOKUP(B19, Roccia!$B$2:$D997, 3, FALSE)*(1+Datos!$E$1)), "Revisar")</f>
        <v>52.624</v>
      </c>
      <c r="G19" s="11">
        <f>IFERROR(F19*Datos!$B$3, "Revisar")</f>
        <v>78.936</v>
      </c>
      <c r="H19" s="12">
        <f>IFERROR(G19*Datos!$B$1, "Revisar")</f>
        <v>45589.17895</v>
      </c>
      <c r="I19" s="13">
        <f>IFERROR((VLOOKUP(B19, Roccia!$B$2:$D997, 3, FALSE) /(1-Datos!$E$1)), "Revisar")</f>
        <v>57.82857143</v>
      </c>
      <c r="J19" s="13">
        <f>IFERROR(I19*Datos!$B$3, "Revisar")</f>
        <v>86.74285714</v>
      </c>
      <c r="K19" s="13">
        <f t="shared" si="3"/>
        <v>7.806857143</v>
      </c>
    </row>
    <row r="20">
      <c r="A20" s="8" t="s">
        <v>42</v>
      </c>
      <c r="B20" s="9" t="s">
        <v>49</v>
      </c>
      <c r="C20" s="10" t="s">
        <v>50</v>
      </c>
      <c r="D20" s="11">
        <f t="shared" ref="D20:E20" si="20">IF(MOD(F20, 5) &lt;= 2.5, FLOOR(F20, 5), CEILING(F20, 5))</f>
        <v>55</v>
      </c>
      <c r="E20" s="11">
        <f t="shared" si="20"/>
        <v>80</v>
      </c>
      <c r="F20" s="11">
        <f>IFERROR((VLOOKUP(B20, Roccia!$B$2:$D997, 3, FALSE)*(1+Datos!$E$1)), "Revisar")</f>
        <v>52.663</v>
      </c>
      <c r="G20" s="11">
        <f>IFERROR(F20*Datos!$B$3, "Revisar")</f>
        <v>78.9945</v>
      </c>
      <c r="H20" s="12">
        <f>IFERROR(G20*Datos!$B$1, "Revisar")</f>
        <v>45622.9654</v>
      </c>
      <c r="I20" s="13">
        <f>IFERROR((VLOOKUP(B20, Roccia!$B$2:$D997, 3, FALSE) /(1-Datos!$E$1)), "Revisar")</f>
        <v>57.87142857</v>
      </c>
      <c r="J20" s="13">
        <f>IFERROR(I20*Datos!$B$3, "Revisar")</f>
        <v>86.80714286</v>
      </c>
      <c r="K20" s="13">
        <f t="shared" si="3"/>
        <v>7.812642857</v>
      </c>
    </row>
    <row r="21">
      <c r="A21" s="8" t="s">
        <v>42</v>
      </c>
      <c r="B21" s="9" t="s">
        <v>51</v>
      </c>
      <c r="C21" s="10" t="s">
        <v>52</v>
      </c>
      <c r="D21" s="11">
        <f t="shared" ref="D21:E21" si="21">IF(MOD(F21, 5) &lt;= 2.5, FLOOR(F21, 5), CEILING(F21, 5))</f>
        <v>75</v>
      </c>
      <c r="E21" s="11">
        <f t="shared" si="21"/>
        <v>115</v>
      </c>
      <c r="F21" s="11">
        <f>IFERROR((VLOOKUP(B21, Roccia!$B$2:$D997, 3, FALSE)*(1+Datos!$E$1)), "Revisar")</f>
        <v>76.076</v>
      </c>
      <c r="G21" s="11">
        <f>IFERROR(F21*Datos!$B$3, "Revisar")</f>
        <v>114.114</v>
      </c>
      <c r="H21" s="12">
        <f>IFERROR(G21*Datos!$B$1, "Revisar")</f>
        <v>65906.09566</v>
      </c>
      <c r="I21" s="13">
        <f>IFERROR((VLOOKUP(B21, Roccia!$B$2:$D997, 3, FALSE) /(1-Datos!$E$1)), "Revisar")</f>
        <v>83.6</v>
      </c>
      <c r="J21" s="13">
        <f>IFERROR(I21*Datos!$B$3, "Revisar")</f>
        <v>125.4</v>
      </c>
      <c r="K21" s="13">
        <f t="shared" si="3"/>
        <v>11.286</v>
      </c>
    </row>
    <row r="22">
      <c r="A22" s="8" t="s">
        <v>42</v>
      </c>
      <c r="B22" s="9" t="s">
        <v>53</v>
      </c>
      <c r="C22" s="10" t="s">
        <v>54</v>
      </c>
      <c r="D22" s="11">
        <f t="shared" ref="D22:E22" si="22">IF(MOD(F22, 5) &lt;= 2.5, FLOOR(F22, 5), CEILING(F22, 5))</f>
        <v>115</v>
      </c>
      <c r="E22" s="11">
        <f t="shared" si="22"/>
        <v>175</v>
      </c>
      <c r="F22" s="11">
        <f>IFERROR((VLOOKUP(B22, Roccia!$B$2:$D997, 3, FALSE)*(1+Datos!$E$1)), "Revisar")</f>
        <v>116.415</v>
      </c>
      <c r="G22" s="11">
        <f>IFERROR(F22*Datos!$B$3, "Revisar")</f>
        <v>174.6225</v>
      </c>
      <c r="H22" s="12">
        <f>IFERROR(G22*Datos!$B$1, "Revisar")</f>
        <v>100852.5438</v>
      </c>
      <c r="I22" s="13">
        <f>IFERROR((VLOOKUP(B22, Roccia!$B$2:$D997, 3, FALSE) /(1-Datos!$E$1)), "Revisar")</f>
        <v>127.9285714</v>
      </c>
      <c r="J22" s="13">
        <f>IFERROR(I22*Datos!$B$3, "Revisar")</f>
        <v>191.8928571</v>
      </c>
      <c r="K22" s="13">
        <f t="shared" si="3"/>
        <v>17.27035714</v>
      </c>
    </row>
    <row r="23">
      <c r="A23" s="8" t="s">
        <v>42</v>
      </c>
      <c r="B23" s="9" t="s">
        <v>55</v>
      </c>
      <c r="C23" s="10" t="s">
        <v>56</v>
      </c>
      <c r="D23" s="11">
        <f t="shared" ref="D23:E23" si="23">IF(MOD(F23, 5) &lt;= 2.5, FLOOR(F23, 5), CEILING(F23, 5))</f>
        <v>505</v>
      </c>
      <c r="E23" s="11">
        <f t="shared" si="23"/>
        <v>755</v>
      </c>
      <c r="F23" s="11">
        <f>IFERROR((VLOOKUP(B23, Roccia!$B$2:$D997, 3, FALSE)*(1+Datos!$E$1)), "Revisar")</f>
        <v>502.84</v>
      </c>
      <c r="G23" s="11">
        <f>IFERROR(F23*Datos!$B$3, "Revisar")</f>
        <v>754.26</v>
      </c>
      <c r="H23" s="12">
        <f>IFERROR(G23*Datos!$B$1, "Revisar")</f>
        <v>435619.9214</v>
      </c>
      <c r="I23" s="13">
        <f>IFERROR((VLOOKUP(B23, Roccia!$B$2:$D997, 3, FALSE) /(1-Datos!$E$1)), "Revisar")</f>
        <v>552.5714286</v>
      </c>
      <c r="J23" s="13">
        <f>IFERROR(I23*Datos!$B$3, "Revisar")</f>
        <v>828.8571429</v>
      </c>
      <c r="K23" s="13">
        <f t="shared" si="3"/>
        <v>74.59714286</v>
      </c>
    </row>
    <row r="24">
      <c r="A24" s="8" t="s">
        <v>42</v>
      </c>
      <c r="B24" s="9" t="s">
        <v>57</v>
      </c>
      <c r="C24" s="10" t="s">
        <v>58</v>
      </c>
      <c r="D24" s="11">
        <f t="shared" ref="D24:E24" si="24">IF(MOD(F24, 5) &lt;= 2.5, FLOOR(F24, 5), CEILING(F24, 5))</f>
        <v>570</v>
      </c>
      <c r="E24" s="11">
        <f t="shared" si="24"/>
        <v>855</v>
      </c>
      <c r="F24" s="11">
        <f>IFERROR((VLOOKUP(B24, Roccia!$B$2:$D997, 3, FALSE)*(1+Datos!$E$1)), "Revisar")</f>
        <v>569.179</v>
      </c>
      <c r="G24" s="11">
        <f>IFERROR(F24*Datos!$B$3, "Revisar")</f>
        <v>853.7685</v>
      </c>
      <c r="H24" s="12">
        <f>IFERROR(G24*Datos!$B$1, "Revisar")</f>
        <v>493090.6675</v>
      </c>
      <c r="I24" s="13">
        <f>IFERROR((VLOOKUP(B24, Roccia!$B$2:$D997, 3, FALSE) /(1-Datos!$E$1)), "Revisar")</f>
        <v>625.4714286</v>
      </c>
      <c r="J24" s="13">
        <f>IFERROR(I24*Datos!$B$3, "Revisar")</f>
        <v>938.2071429</v>
      </c>
      <c r="K24" s="13">
        <f t="shared" si="3"/>
        <v>84.43864286</v>
      </c>
    </row>
    <row r="25">
      <c r="A25" s="8" t="s">
        <v>42</v>
      </c>
      <c r="B25" s="9" t="s">
        <v>59</v>
      </c>
      <c r="C25" s="10" t="s">
        <v>60</v>
      </c>
      <c r="D25" s="11">
        <f t="shared" ref="D25:E25" si="25">IF(MOD(F25, 5) &lt;= 2.5, FLOOR(F25, 5), CEILING(F25, 5))</f>
        <v>725</v>
      </c>
      <c r="E25" s="11">
        <f t="shared" si="25"/>
        <v>1090</v>
      </c>
      <c r="F25" s="11">
        <f>IFERROR((VLOOKUP(B25, Roccia!$B$2:$D997, 3, FALSE)*(1+Datos!$E$1)), "Revisar")</f>
        <v>727.363</v>
      </c>
      <c r="G25" s="11">
        <f>IFERROR(F25*Datos!$B$3, "Revisar")</f>
        <v>1091.0445</v>
      </c>
      <c r="H25" s="12">
        <f>IFERROR(G25*Datos!$B$1, "Revisar")</f>
        <v>630128.4959</v>
      </c>
      <c r="I25" s="13">
        <f>IFERROR((VLOOKUP(B25, Roccia!$B$2:$D997, 3, FALSE) /(1-Datos!$E$1)), "Revisar")</f>
        <v>799.3</v>
      </c>
      <c r="J25" s="13">
        <f>IFERROR(I25*Datos!$B$3, "Revisar")</f>
        <v>1198.95</v>
      </c>
      <c r="K25" s="13">
        <f t="shared" si="3"/>
        <v>107.9055</v>
      </c>
    </row>
    <row r="26">
      <c r="A26" s="8" t="s">
        <v>42</v>
      </c>
      <c r="B26" s="9" t="s">
        <v>61</v>
      </c>
      <c r="C26" s="10" t="s">
        <v>62</v>
      </c>
      <c r="D26" s="11">
        <f t="shared" ref="D26:E26" si="26">IF(MOD(F26, 5) &lt;= 2.5, FLOOR(F26, 5), CEILING(F26, 5))</f>
        <v>885</v>
      </c>
      <c r="E26" s="11">
        <f t="shared" si="26"/>
        <v>1325</v>
      </c>
      <c r="F26" s="11">
        <f>IFERROR((VLOOKUP(B26, Roccia!$B$2:$D997, 3, FALSE)*(1+Datos!$E$1)), "Revisar")</f>
        <v>883.012</v>
      </c>
      <c r="G26" s="11">
        <f>IFERROR(F26*Datos!$B$3, "Revisar")</f>
        <v>1324.518</v>
      </c>
      <c r="H26" s="12">
        <f>IFERROR(G26*Datos!$B$1, "Revisar")</f>
        <v>764970.2053</v>
      </c>
      <c r="I26" s="13">
        <f>IFERROR((VLOOKUP(B26, Roccia!$B$2:$D997, 3, FALSE) /(1-Datos!$E$1)), "Revisar")</f>
        <v>970.3428571</v>
      </c>
      <c r="J26" s="13">
        <f>IFERROR(I26*Datos!$B$3, "Revisar")</f>
        <v>1455.514286</v>
      </c>
      <c r="K26" s="13">
        <f t="shared" si="3"/>
        <v>130.9962857</v>
      </c>
    </row>
    <row r="27">
      <c r="A27" s="8" t="s">
        <v>63</v>
      </c>
      <c r="B27" s="9" t="s">
        <v>64</v>
      </c>
      <c r="C27" s="10" t="s">
        <v>65</v>
      </c>
      <c r="D27" s="11">
        <f t="shared" ref="D27:E27" si="27">IF(MOD(F27, 5) &lt;= 2.5, FLOOR(F27, 5), CEILING(F27, 5))</f>
        <v>35</v>
      </c>
      <c r="E27" s="11">
        <f t="shared" si="27"/>
        <v>50</v>
      </c>
      <c r="F27" s="11">
        <f>IFERROR((VLOOKUP(B27, Roccia!$B$2:$D997, 3, FALSE)*(1+Datos!$E$1)), "Revisar")</f>
        <v>33.8</v>
      </c>
      <c r="G27" s="11">
        <f>IFERROR(F27*Datos!$B$3, "Revisar")</f>
        <v>50.7</v>
      </c>
      <c r="H27" s="12">
        <f>IFERROR(G27*Datos!$B$1, "Revisar")</f>
        <v>29281.58727</v>
      </c>
      <c r="I27" s="13">
        <f>IFERROR((VLOOKUP(B27, Roccia!$B$2:$D997, 3, FALSE) /(1-Datos!$E$1)), "Revisar")</f>
        <v>37.14285714</v>
      </c>
      <c r="J27" s="13">
        <f>IFERROR(I27*Datos!$B$3, "Revisar")</f>
        <v>55.71428571</v>
      </c>
      <c r="K27" s="13">
        <f t="shared" si="3"/>
        <v>5.014285714</v>
      </c>
    </row>
    <row r="28">
      <c r="A28" s="8" t="s">
        <v>63</v>
      </c>
      <c r="B28" s="9" t="s">
        <v>66</v>
      </c>
      <c r="C28" s="10" t="s">
        <v>67</v>
      </c>
      <c r="D28" s="11">
        <f t="shared" ref="D28:E28" si="28">IF(MOD(F28, 5) &lt;= 2.5, FLOOR(F28, 5), CEILING(F28, 5))</f>
        <v>5</v>
      </c>
      <c r="E28" s="11">
        <f t="shared" si="28"/>
        <v>5</v>
      </c>
      <c r="F28" s="11">
        <f>IFERROR((VLOOKUP(B28, Roccia!$B$2:$D997, 3, FALSE)*(1+Datos!$E$1)), "Revisar")</f>
        <v>4.55</v>
      </c>
      <c r="G28" s="11">
        <f>IFERROR(F28*Datos!$B$3, "Revisar")</f>
        <v>6.825</v>
      </c>
      <c r="H28" s="12">
        <f>IFERROR(G28*Datos!$B$1, "Revisar")</f>
        <v>3941.752133</v>
      </c>
      <c r="I28" s="13">
        <f>IFERROR((VLOOKUP(B28, Roccia!$B$2:$D997, 3, FALSE) /(1-Datos!$E$1)), "Revisar")</f>
        <v>5</v>
      </c>
      <c r="J28" s="13">
        <f>IFERROR(I28*Datos!$B$3, "Revisar")</f>
        <v>7.5</v>
      </c>
      <c r="K28" s="13">
        <f t="shared" si="3"/>
        <v>0.675</v>
      </c>
    </row>
    <row r="29">
      <c r="A29" s="8" t="s">
        <v>63</v>
      </c>
      <c r="B29" s="9" t="s">
        <v>68</v>
      </c>
      <c r="C29" s="10" t="s">
        <v>69</v>
      </c>
      <c r="D29" s="11">
        <f t="shared" ref="D29:E29" si="29">IF(MOD(F29, 5) &lt;= 2.5, FLOOR(F29, 5), CEILING(F29, 5))</f>
        <v>55</v>
      </c>
      <c r="E29" s="11">
        <f t="shared" si="29"/>
        <v>80</v>
      </c>
      <c r="F29" s="11">
        <f>IFERROR((VLOOKUP(B29, Roccia!$B$2:$D997, 3, FALSE)*(1+Datos!$E$1)), "Revisar")</f>
        <v>54.6</v>
      </c>
      <c r="G29" s="11">
        <f>IFERROR(F29*Datos!$B$3, "Revisar")</f>
        <v>81.9</v>
      </c>
      <c r="H29" s="12">
        <f>IFERROR(G29*Datos!$B$1, "Revisar")</f>
        <v>47301.02559</v>
      </c>
      <c r="I29" s="13">
        <f>IFERROR((VLOOKUP(B29, Roccia!$B$2:$D997, 3, FALSE) /(1-Datos!$E$1)), "Revisar")</f>
        <v>60</v>
      </c>
      <c r="J29" s="13">
        <f>IFERROR(I29*Datos!$B$3, "Revisar")</f>
        <v>90</v>
      </c>
      <c r="K29" s="13">
        <f t="shared" si="3"/>
        <v>8.1</v>
      </c>
    </row>
    <row r="30">
      <c r="A30" s="8" t="s">
        <v>63</v>
      </c>
      <c r="B30" s="9" t="s">
        <v>70</v>
      </c>
      <c r="C30" s="10" t="s">
        <v>71</v>
      </c>
      <c r="D30" s="11">
        <f t="shared" ref="D30:E30" si="30">IF(MOD(F30, 5) &lt;= 2.5, FLOOR(F30, 5), CEILING(F30, 5))</f>
        <v>80</v>
      </c>
      <c r="E30" s="11">
        <f t="shared" si="30"/>
        <v>115</v>
      </c>
      <c r="F30" s="11">
        <f>IFERROR((VLOOKUP(B30, Roccia!$B$2:$D997, 3, FALSE)*(1+Datos!$E$1)), "Revisar")</f>
        <v>78</v>
      </c>
      <c r="G30" s="11">
        <f>IFERROR(F30*Datos!$B$3, "Revisar")</f>
        <v>117</v>
      </c>
      <c r="H30" s="12">
        <f>IFERROR(G30*Datos!$B$1, "Revisar")</f>
        <v>67572.8937</v>
      </c>
      <c r="I30" s="13">
        <f>IFERROR((VLOOKUP(B30, Roccia!$B$2:$D997, 3, FALSE) /(1-Datos!$E$1)), "Revisar")</f>
        <v>85.71428571</v>
      </c>
      <c r="J30" s="13">
        <f>IFERROR(I30*Datos!$B$3, "Revisar")</f>
        <v>128.5714286</v>
      </c>
      <c r="K30" s="13">
        <f t="shared" si="3"/>
        <v>11.57142857</v>
      </c>
    </row>
    <row r="31">
      <c r="A31" s="8" t="s">
        <v>63</v>
      </c>
      <c r="B31" s="9" t="s">
        <v>72</v>
      </c>
      <c r="C31" s="10" t="s">
        <v>73</v>
      </c>
      <c r="D31" s="11">
        <f t="shared" ref="D31:E31" si="31">IF(MOD(F31, 5) &lt;= 2.5, FLOOR(F31, 5), CEILING(F31, 5))</f>
        <v>130</v>
      </c>
      <c r="E31" s="11">
        <f t="shared" si="31"/>
        <v>195</v>
      </c>
      <c r="F31" s="11">
        <f>IFERROR((VLOOKUP(B31, Roccia!$B$2:$D997, 3, FALSE)*(1+Datos!$E$1)), "Revisar")</f>
        <v>130</v>
      </c>
      <c r="G31" s="11">
        <f>IFERROR(F31*Datos!$B$3, "Revisar")</f>
        <v>195</v>
      </c>
      <c r="H31" s="12">
        <f>IFERROR(G31*Datos!$B$1, "Revisar")</f>
        <v>112621.4895</v>
      </c>
      <c r="I31" s="13">
        <f>IFERROR((VLOOKUP(B31, Roccia!$B$2:$D997, 3, FALSE) /(1-Datos!$E$1)), "Revisar")</f>
        <v>142.8571429</v>
      </c>
      <c r="J31" s="13">
        <f>IFERROR(I31*Datos!$B$3, "Revisar")</f>
        <v>214.2857143</v>
      </c>
      <c r="K31" s="13">
        <f t="shared" si="3"/>
        <v>19.28571429</v>
      </c>
    </row>
    <row r="32">
      <c r="A32" s="8" t="s">
        <v>63</v>
      </c>
      <c r="B32" s="9" t="s">
        <v>74</v>
      </c>
      <c r="C32" s="10" t="s">
        <v>75</v>
      </c>
      <c r="D32" s="11">
        <f t="shared" ref="D32:E32" si="32">IF(MOD(F32, 5) &lt;= 2.5, FLOOR(F32, 5), CEILING(F32, 5))</f>
        <v>95</v>
      </c>
      <c r="E32" s="11">
        <f t="shared" si="32"/>
        <v>145</v>
      </c>
      <c r="F32" s="11">
        <f>IFERROR((VLOOKUP(B32, Roccia!$B$2:$D997, 3, FALSE)*(1+Datos!$E$1)), "Revisar")</f>
        <v>95.095</v>
      </c>
      <c r="G32" s="11">
        <f>IFERROR(F32*Datos!$B$3, "Revisar")</f>
        <v>142.6425</v>
      </c>
      <c r="H32" s="12">
        <f>IFERROR(G32*Datos!$B$1, "Revisar")</f>
        <v>82382.61957</v>
      </c>
      <c r="I32" s="13">
        <f>IFERROR((VLOOKUP(B32, Roccia!$B$2:$D997, 3, FALSE) /(1-Datos!$E$1)), "Revisar")</f>
        <v>104.5</v>
      </c>
      <c r="J32" s="13">
        <f>IFERROR(I32*Datos!$B$3, "Revisar")</f>
        <v>156.75</v>
      </c>
      <c r="K32" s="13">
        <f t="shared" si="3"/>
        <v>14.1075</v>
      </c>
    </row>
    <row r="33">
      <c r="A33" s="8" t="s">
        <v>63</v>
      </c>
      <c r="B33" s="9" t="s">
        <v>76</v>
      </c>
      <c r="C33" s="10" t="s">
        <v>77</v>
      </c>
      <c r="D33" s="11">
        <f t="shared" ref="D33:E33" si="33">IF(MOD(F33, 5) &lt;= 2.5, FLOOR(F33, 5), CEILING(F33, 5))</f>
        <v>485</v>
      </c>
      <c r="E33" s="11">
        <f t="shared" si="33"/>
        <v>730</v>
      </c>
      <c r="F33" s="11">
        <f>IFERROR((VLOOKUP(B33, Roccia!$B$2:$D997, 3, FALSE)*(1+Datos!$E$1)), "Revisar")</f>
        <v>485.849</v>
      </c>
      <c r="G33" s="11">
        <f>IFERROR(F33*Datos!$B$3, "Revisar")</f>
        <v>728.7735</v>
      </c>
      <c r="H33" s="12">
        <f>IFERROR(G33*Datos!$B$1, "Revisar")</f>
        <v>420900.2927</v>
      </c>
      <c r="I33" s="13">
        <f>IFERROR((VLOOKUP(B33, Roccia!$B$2:$D997, 3, FALSE) /(1-Datos!$E$1)), "Revisar")</f>
        <v>533.9</v>
      </c>
      <c r="J33" s="13">
        <f>IFERROR(I33*Datos!$B$3, "Revisar")</f>
        <v>800.85</v>
      </c>
      <c r="K33" s="13">
        <f t="shared" si="3"/>
        <v>72.0765</v>
      </c>
    </row>
    <row r="34">
      <c r="A34" s="8" t="s">
        <v>63</v>
      </c>
      <c r="B34" s="9" t="s">
        <v>78</v>
      </c>
      <c r="C34" s="10" t="s">
        <v>79</v>
      </c>
      <c r="D34" s="11">
        <f t="shared" ref="D34:E34" si="34">IF(MOD(F34, 5) &lt;= 2.5, FLOOR(F34, 5), CEILING(F34, 5))</f>
        <v>515</v>
      </c>
      <c r="E34" s="11">
        <f t="shared" si="34"/>
        <v>775</v>
      </c>
      <c r="F34" s="11">
        <f>IFERROR((VLOOKUP(B34, Roccia!$B$2:$D997, 3, FALSE)*(1+Datos!$E$1)), "Revisar")</f>
        <v>515.489</v>
      </c>
      <c r="G34" s="11">
        <f>IFERROR(F34*Datos!$B$3, "Revisar")</f>
        <v>773.2335</v>
      </c>
      <c r="H34" s="12">
        <f>IFERROR(G34*Datos!$B$1, "Revisar")</f>
        <v>446577.9923</v>
      </c>
      <c r="I34" s="13">
        <f>IFERROR((VLOOKUP(B34, Roccia!$B$2:$D997, 3, FALSE) /(1-Datos!$E$1)), "Revisar")</f>
        <v>566.4714286</v>
      </c>
      <c r="J34" s="13">
        <f>IFERROR(I34*Datos!$B$3, "Revisar")</f>
        <v>849.7071429</v>
      </c>
      <c r="K34" s="13">
        <f t="shared" si="3"/>
        <v>76.47364286</v>
      </c>
    </row>
    <row r="35">
      <c r="A35" s="8" t="s">
        <v>63</v>
      </c>
      <c r="B35" s="9" t="s">
        <v>80</v>
      </c>
      <c r="C35" s="10" t="s">
        <v>81</v>
      </c>
      <c r="D35" s="11">
        <f t="shared" ref="D35:E35" si="35">IF(MOD(F35, 5) &lt;= 2.5, FLOOR(F35, 5), CEILING(F35, 5))</f>
        <v>850</v>
      </c>
      <c r="E35" s="11">
        <f t="shared" si="35"/>
        <v>1275</v>
      </c>
      <c r="F35" s="11">
        <f>IFERROR((VLOOKUP(B35, Roccia!$B$2:$D997, 3, FALSE)*(1+Datos!$E$1)), "Revisar")</f>
        <v>848.926</v>
      </c>
      <c r="G35" s="11">
        <f>IFERROR(F35*Datos!$B$3, "Revisar")</f>
        <v>1273.389</v>
      </c>
      <c r="H35" s="12">
        <f>IFERROR(G35*Datos!$B$1, "Revisar")</f>
        <v>735440.8507</v>
      </c>
      <c r="I35" s="13">
        <f>IFERROR((VLOOKUP(B35, Roccia!$B$2:$D997, 3, FALSE) /(1-Datos!$E$1)), "Revisar")</f>
        <v>932.8857143</v>
      </c>
      <c r="J35" s="13">
        <f>IFERROR(I35*Datos!$B$3, "Revisar")</f>
        <v>1399.328571</v>
      </c>
      <c r="K35" s="13">
        <f t="shared" si="3"/>
        <v>125.9395714</v>
      </c>
    </row>
    <row r="36">
      <c r="A36" s="8" t="s">
        <v>63</v>
      </c>
      <c r="B36" s="9" t="s">
        <v>82</v>
      </c>
      <c r="C36" s="10" t="s">
        <v>83</v>
      </c>
      <c r="D36" s="11">
        <f t="shared" ref="D36:E36" si="36">IF(MOD(F36, 5) &lt;= 2.5, FLOOR(F36, 5), CEILING(F36, 5))</f>
        <v>10</v>
      </c>
      <c r="E36" s="11">
        <f t="shared" si="36"/>
        <v>15</v>
      </c>
      <c r="F36" s="11">
        <f>IFERROR((VLOOKUP(B36, Roccia!$B$2:$D997, 3, FALSE)*(1+Datos!$E$1)), "Revisar")</f>
        <v>9.1</v>
      </c>
      <c r="G36" s="11">
        <f>IFERROR(F36*Datos!$B$3, "Revisar")</f>
        <v>13.65</v>
      </c>
      <c r="H36" s="12">
        <f>IFERROR(G36*Datos!$B$1, "Revisar")</f>
        <v>7883.504265</v>
      </c>
      <c r="I36" s="13">
        <f>IFERROR((VLOOKUP(B36, Roccia!$B$2:$D997, 3, FALSE) /(1-Datos!$E$1)), "Revisar")</f>
        <v>10</v>
      </c>
      <c r="J36" s="13">
        <f>IFERROR(I36*Datos!$B$3, "Revisar")</f>
        <v>15</v>
      </c>
      <c r="K36" s="13">
        <f t="shared" si="3"/>
        <v>1.35</v>
      </c>
    </row>
    <row r="37">
      <c r="A37" s="8" t="s">
        <v>63</v>
      </c>
      <c r="B37" s="9" t="s">
        <v>84</v>
      </c>
      <c r="C37" s="10" t="s">
        <v>85</v>
      </c>
      <c r="D37" s="11">
        <f t="shared" ref="D37:E37" si="37">IF(MOD(F37, 5) &lt;= 2.5, FLOOR(F37, 5), CEILING(F37, 5))</f>
        <v>20</v>
      </c>
      <c r="E37" s="11">
        <f t="shared" si="37"/>
        <v>30</v>
      </c>
      <c r="F37" s="11">
        <f>IFERROR((VLOOKUP(B37, Roccia!$B$2:$D997, 3, FALSE)*(1+Datos!$E$1)), "Revisar")</f>
        <v>19.175</v>
      </c>
      <c r="G37" s="11">
        <f>IFERROR(F37*Datos!$B$3, "Revisar")</f>
        <v>28.7625</v>
      </c>
      <c r="H37" s="12">
        <f>IFERROR(G37*Datos!$B$1, "Revisar")</f>
        <v>16611.6697</v>
      </c>
      <c r="I37" s="13">
        <f>IFERROR((VLOOKUP(B37, Roccia!$B$2:$D997, 3, FALSE) /(1-Datos!$E$1)), "Revisar")</f>
        <v>21.07142857</v>
      </c>
      <c r="J37" s="13">
        <f>IFERROR(I37*Datos!$B$3, "Revisar")</f>
        <v>31.60714286</v>
      </c>
      <c r="K37" s="13">
        <f t="shared" si="3"/>
        <v>2.844642857</v>
      </c>
    </row>
    <row r="38">
      <c r="A38" s="8" t="s">
        <v>63</v>
      </c>
      <c r="B38" s="9" t="s">
        <v>86</v>
      </c>
      <c r="C38" s="10" t="s">
        <v>87</v>
      </c>
      <c r="D38" s="11">
        <f t="shared" ref="D38:E38" si="38">IF(MOD(F38, 5) &lt;= 2.5, FLOOR(F38, 5), CEILING(F38, 5))</f>
        <v>45</v>
      </c>
      <c r="E38" s="11">
        <f t="shared" si="38"/>
        <v>65</v>
      </c>
      <c r="F38" s="11">
        <f>IFERROR((VLOOKUP(B38, Roccia!$B$2:$D997, 3, FALSE)*(1+Datos!$E$1)), "Revisar")</f>
        <v>44.382</v>
      </c>
      <c r="G38" s="11">
        <f>IFERROR(F38*Datos!$B$3, "Revisar")</f>
        <v>66.573</v>
      </c>
      <c r="H38" s="12">
        <f>IFERROR(G38*Datos!$B$1, "Revisar")</f>
        <v>38448.97652</v>
      </c>
      <c r="I38" s="13">
        <f>IFERROR((VLOOKUP(B38, Roccia!$B$2:$D997, 3, FALSE) /(1-Datos!$E$1)), "Revisar")</f>
        <v>48.77142857</v>
      </c>
      <c r="J38" s="13">
        <f>IFERROR(I38*Datos!$B$3, "Revisar")</f>
        <v>73.15714286</v>
      </c>
      <c r="K38" s="13">
        <f t="shared" si="3"/>
        <v>6.584142857</v>
      </c>
    </row>
    <row r="39">
      <c r="A39" s="8" t="s">
        <v>63</v>
      </c>
      <c r="B39" s="9" t="s">
        <v>88</v>
      </c>
      <c r="C39" s="10" t="s">
        <v>89</v>
      </c>
      <c r="D39" s="11">
        <f t="shared" ref="D39:E39" si="39">IF(MOD(F39, 5) &lt;= 2.5, FLOOR(F39, 5), CEILING(F39, 5))</f>
        <v>80</v>
      </c>
      <c r="E39" s="11">
        <f t="shared" si="39"/>
        <v>115</v>
      </c>
      <c r="F39" s="11">
        <f>IFERROR((VLOOKUP(B39, Roccia!$B$2:$D997, 3, FALSE)*(1+Datos!$E$1)), "Revisar")</f>
        <v>78</v>
      </c>
      <c r="G39" s="11">
        <f>IFERROR(F39*Datos!$B$3, "Revisar")</f>
        <v>117</v>
      </c>
      <c r="H39" s="12">
        <f>IFERROR(G39*Datos!$B$1, "Revisar")</f>
        <v>67572.8937</v>
      </c>
      <c r="I39" s="13">
        <f>IFERROR((VLOOKUP(B39, Roccia!$B$2:$D997, 3, FALSE) /(1-Datos!$E$1)), "Revisar")</f>
        <v>85.71428571</v>
      </c>
      <c r="J39" s="13">
        <f>IFERROR(I39*Datos!$B$3, "Revisar")</f>
        <v>128.5714286</v>
      </c>
      <c r="K39" s="13">
        <f t="shared" si="3"/>
        <v>11.57142857</v>
      </c>
    </row>
    <row r="40">
      <c r="A40" s="8" t="s">
        <v>63</v>
      </c>
      <c r="B40" s="9" t="s">
        <v>90</v>
      </c>
      <c r="C40" s="10" t="s">
        <v>91</v>
      </c>
      <c r="D40" s="11">
        <f t="shared" ref="D40:E40" si="40">IF(MOD(F40, 5) &lt;= 2.5, FLOOR(F40, 5), CEILING(F40, 5))</f>
        <v>60</v>
      </c>
      <c r="E40" s="11">
        <f t="shared" si="40"/>
        <v>90</v>
      </c>
      <c r="F40" s="11">
        <f>IFERROR((VLOOKUP(B40, Roccia!$B$2:$D997, 3, FALSE)*(1+Datos!$E$1)), "Revisar")</f>
        <v>58.734</v>
      </c>
      <c r="G40" s="11">
        <f>IFERROR(F40*Datos!$B$3, "Revisar")</f>
        <v>88.101</v>
      </c>
      <c r="H40" s="12">
        <f>IFERROR(G40*Datos!$B$1, "Revisar")</f>
        <v>50882.38896</v>
      </c>
      <c r="I40" s="13">
        <f>IFERROR((VLOOKUP(B40, Roccia!$B$2:$D997, 3, FALSE) /(1-Datos!$E$1)), "Revisar")</f>
        <v>64.54285714</v>
      </c>
      <c r="J40" s="13">
        <f>IFERROR(I40*Datos!$B$3, "Revisar")</f>
        <v>96.81428571</v>
      </c>
      <c r="K40" s="13">
        <f t="shared" si="3"/>
        <v>8.713285714</v>
      </c>
    </row>
    <row r="41">
      <c r="A41" s="8" t="s">
        <v>63</v>
      </c>
      <c r="B41" s="9" t="s">
        <v>92</v>
      </c>
      <c r="C41" s="10" t="s">
        <v>93</v>
      </c>
      <c r="D41" s="11">
        <f t="shared" ref="D41:E41" si="41">IF(MOD(F41, 5) &lt;= 2.5, FLOOR(F41, 5), CEILING(F41, 5))</f>
        <v>90</v>
      </c>
      <c r="E41" s="11">
        <f t="shared" si="41"/>
        <v>135</v>
      </c>
      <c r="F41" s="11">
        <f>IFERROR((VLOOKUP(B41, Roccia!$B$2:$D997, 3, FALSE)*(1+Datos!$E$1)), "Revisar")</f>
        <v>90.116</v>
      </c>
      <c r="G41" s="11">
        <f>IFERROR(F41*Datos!$B$3, "Revisar")</f>
        <v>135.174</v>
      </c>
      <c r="H41" s="12">
        <f>IFERROR(G41*Datos!$B$1, "Revisar")</f>
        <v>78069.21652</v>
      </c>
      <c r="I41" s="13">
        <f>IFERROR((VLOOKUP(B41, Roccia!$B$2:$D997, 3, FALSE) /(1-Datos!$E$1)), "Revisar")</f>
        <v>99.02857143</v>
      </c>
      <c r="J41" s="13">
        <f>IFERROR(I41*Datos!$B$3, "Revisar")</f>
        <v>148.5428571</v>
      </c>
      <c r="K41" s="13">
        <f t="shared" si="3"/>
        <v>13.36885714</v>
      </c>
    </row>
    <row r="42">
      <c r="A42" s="8" t="s">
        <v>63</v>
      </c>
      <c r="B42" s="9" t="s">
        <v>94</v>
      </c>
      <c r="C42" s="10" t="s">
        <v>95</v>
      </c>
      <c r="D42" s="11">
        <f t="shared" ref="D42:E42" si="42">IF(MOD(F42, 5) &lt;= 2.5, FLOOR(F42, 5), CEILING(F42, 5))</f>
        <v>125</v>
      </c>
      <c r="E42" s="11">
        <f t="shared" si="42"/>
        <v>185</v>
      </c>
      <c r="F42" s="11">
        <f>IFERROR((VLOOKUP(B42, Roccia!$B$2:$D997, 3, FALSE)*(1+Datos!$E$1)), "Revisar")</f>
        <v>122.642</v>
      </c>
      <c r="G42" s="11">
        <f>IFERROR(F42*Datos!$B$3, "Revisar")</f>
        <v>183.963</v>
      </c>
      <c r="H42" s="12">
        <f>IFERROR(G42*Datos!$B$1, "Revisar")</f>
        <v>106247.1132</v>
      </c>
      <c r="I42" s="13">
        <f>IFERROR((VLOOKUP(B42, Roccia!$B$2:$D997, 3, FALSE) /(1-Datos!$E$1)), "Revisar")</f>
        <v>134.7714286</v>
      </c>
      <c r="J42" s="13">
        <f>IFERROR(I42*Datos!$B$3, "Revisar")</f>
        <v>202.1571429</v>
      </c>
      <c r="K42" s="13">
        <f t="shared" si="3"/>
        <v>18.19414286</v>
      </c>
    </row>
    <row r="43">
      <c r="A43" s="8" t="s">
        <v>63</v>
      </c>
      <c r="B43" s="9" t="s">
        <v>96</v>
      </c>
      <c r="C43" s="10" t="s">
        <v>97</v>
      </c>
      <c r="D43" s="11">
        <f t="shared" ref="D43:E43" si="43">IF(MOD(F43, 5) &lt;= 2.5, FLOOR(F43, 5), CEILING(F43, 5))</f>
        <v>155</v>
      </c>
      <c r="E43" s="11">
        <f t="shared" si="43"/>
        <v>235</v>
      </c>
      <c r="F43" s="11">
        <f>IFERROR((VLOOKUP(B43, Roccia!$B$2:$D997, 3, FALSE)*(1+Datos!$E$1)), "Revisar")</f>
        <v>155.155</v>
      </c>
      <c r="G43" s="11">
        <f>IFERROR(F43*Datos!$B$3, "Revisar")</f>
        <v>232.7325</v>
      </c>
      <c r="H43" s="12">
        <f>IFERROR(G43*Datos!$B$1, "Revisar")</f>
        <v>134413.7477</v>
      </c>
      <c r="I43" s="13">
        <f>IFERROR((VLOOKUP(B43, Roccia!$B$2:$D997, 3, FALSE) /(1-Datos!$E$1)), "Revisar")</f>
        <v>170.5</v>
      </c>
      <c r="J43" s="13">
        <f>IFERROR(I43*Datos!$B$3, "Revisar")</f>
        <v>255.75</v>
      </c>
      <c r="K43" s="13">
        <f t="shared" si="3"/>
        <v>23.0175</v>
      </c>
    </row>
    <row r="44">
      <c r="A44" s="8" t="s">
        <v>63</v>
      </c>
      <c r="B44" s="9" t="s">
        <v>98</v>
      </c>
      <c r="C44" s="10" t="s">
        <v>99</v>
      </c>
      <c r="D44" s="11">
        <f t="shared" ref="D44:E44" si="44">IF(MOD(F44, 5) &lt;= 2.5, FLOOR(F44, 5), CEILING(F44, 5))</f>
        <v>115</v>
      </c>
      <c r="E44" s="11">
        <f t="shared" si="44"/>
        <v>175</v>
      </c>
      <c r="F44" s="11">
        <f>IFERROR((VLOOKUP(B44, Roccia!$B$2:$D997, 3, FALSE)*(1+Datos!$E$1)), "Revisar")</f>
        <v>117.312</v>
      </c>
      <c r="G44" s="11">
        <f>IFERROR(F44*Datos!$B$3, "Revisar")</f>
        <v>175.968</v>
      </c>
      <c r="H44" s="12">
        <f>IFERROR(G44*Datos!$B$1, "Revisar")</f>
        <v>101629.6321</v>
      </c>
      <c r="I44" s="13">
        <f>IFERROR((VLOOKUP(B44, Roccia!$B$2:$D997, 3, FALSE) /(1-Datos!$E$1)), "Revisar")</f>
        <v>128.9142857</v>
      </c>
      <c r="J44" s="13">
        <f>IFERROR(I44*Datos!$B$3, "Revisar")</f>
        <v>193.3714286</v>
      </c>
      <c r="K44" s="13">
        <f t="shared" si="3"/>
        <v>17.40342857</v>
      </c>
    </row>
    <row r="45">
      <c r="A45" s="8" t="s">
        <v>63</v>
      </c>
      <c r="B45" s="9" t="s">
        <v>100</v>
      </c>
      <c r="C45" s="10" t="s">
        <v>101</v>
      </c>
      <c r="D45" s="11">
        <f t="shared" ref="D45:E45" si="45">IF(MOD(F45, 5) &lt;= 2.5, FLOOR(F45, 5), CEILING(F45, 5))</f>
        <v>165</v>
      </c>
      <c r="E45" s="11">
        <f t="shared" si="45"/>
        <v>245</v>
      </c>
      <c r="F45" s="11">
        <f>IFERROR((VLOOKUP(B45, Roccia!$B$2:$D997, 3, FALSE)*(1+Datos!$E$1)), "Revisar")</f>
        <v>163.813</v>
      </c>
      <c r="G45" s="11">
        <f>IFERROR(F45*Datos!$B$3, "Revisar")</f>
        <v>245.7195</v>
      </c>
      <c r="H45" s="12">
        <f>IFERROR(G45*Datos!$B$1, "Revisar")</f>
        <v>141914.3389</v>
      </c>
      <c r="I45" s="13">
        <f>IFERROR((VLOOKUP(B45, Roccia!$B$2:$D997, 3, FALSE) /(1-Datos!$E$1)), "Revisar")</f>
        <v>180.0142857</v>
      </c>
      <c r="J45" s="13">
        <f>IFERROR(I45*Datos!$B$3, "Revisar")</f>
        <v>270.0214286</v>
      </c>
      <c r="K45" s="13">
        <f t="shared" si="3"/>
        <v>24.30192857</v>
      </c>
    </row>
    <row r="46">
      <c r="A46" s="8" t="s">
        <v>63</v>
      </c>
      <c r="B46" s="9" t="s">
        <v>102</v>
      </c>
      <c r="C46" s="10" t="s">
        <v>103</v>
      </c>
      <c r="D46" s="11">
        <f t="shared" ref="D46:E46" si="46">IF(MOD(F46, 5) &lt;= 2.5, FLOOR(F46, 5), CEILING(F46, 5))</f>
        <v>210</v>
      </c>
      <c r="E46" s="11">
        <f t="shared" si="46"/>
        <v>315</v>
      </c>
      <c r="F46" s="11">
        <f>IFERROR((VLOOKUP(B46, Roccia!$B$2:$D997, 3, FALSE)*(1+Datos!$E$1)), "Revisar")</f>
        <v>210.197</v>
      </c>
      <c r="G46" s="11">
        <f>IFERROR(F46*Datos!$B$3, "Revisar")</f>
        <v>315.2955</v>
      </c>
      <c r="H46" s="12">
        <f>IFERROR(G46*Datos!$B$1, "Revisar")</f>
        <v>182097.6864</v>
      </c>
      <c r="I46" s="13">
        <f>IFERROR((VLOOKUP(B46, Roccia!$B$2:$D997, 3, FALSE) /(1-Datos!$E$1)), "Revisar")</f>
        <v>230.9857143</v>
      </c>
      <c r="J46" s="13">
        <f>IFERROR(I46*Datos!$B$3, "Revisar")</f>
        <v>346.4785714</v>
      </c>
      <c r="K46" s="13">
        <f t="shared" si="3"/>
        <v>31.18307143</v>
      </c>
    </row>
    <row r="47">
      <c r="A47" s="8" t="s">
        <v>63</v>
      </c>
      <c r="B47" s="9" t="s">
        <v>104</v>
      </c>
      <c r="C47" s="10" t="s">
        <v>105</v>
      </c>
      <c r="D47" s="11">
        <f t="shared" ref="D47:E47" si="47">IF(MOD(F47, 5) &lt;= 2.5, FLOOR(F47, 5), CEILING(F47, 5))</f>
        <v>55</v>
      </c>
      <c r="E47" s="11">
        <f t="shared" si="47"/>
        <v>80</v>
      </c>
      <c r="F47" s="11">
        <f>IFERROR((VLOOKUP(B47, Roccia!$B$2:$D997, 3, FALSE)*(1+Datos!$E$1)), "Revisar")</f>
        <v>54.834</v>
      </c>
      <c r="G47" s="11">
        <f>IFERROR(F47*Datos!$B$3, "Revisar")</f>
        <v>82.251</v>
      </c>
      <c r="H47" s="12">
        <f>IFERROR(G47*Datos!$B$1, "Revisar")</f>
        <v>47503.74427</v>
      </c>
      <c r="I47" s="13">
        <f>IFERROR((VLOOKUP(B47, Roccia!$B$2:$D997, 3, FALSE) /(1-Datos!$E$1)), "Revisar")</f>
        <v>60.25714286</v>
      </c>
      <c r="J47" s="13">
        <f>IFERROR(I47*Datos!$B$3, "Revisar")</f>
        <v>90.38571429</v>
      </c>
      <c r="K47" s="13">
        <f t="shared" si="3"/>
        <v>8.134714286</v>
      </c>
    </row>
    <row r="48">
      <c r="A48" s="8" t="s">
        <v>63</v>
      </c>
      <c r="B48" s="9" t="s">
        <v>106</v>
      </c>
      <c r="C48" s="10" t="s">
        <v>107</v>
      </c>
      <c r="D48" s="11">
        <f t="shared" ref="D48:E48" si="48">IF(MOD(F48, 5) &lt;= 2.5, FLOOR(F48, 5), CEILING(F48, 5))</f>
        <v>85</v>
      </c>
      <c r="E48" s="11">
        <f t="shared" si="48"/>
        <v>130</v>
      </c>
      <c r="F48" s="11">
        <f>IFERROR((VLOOKUP(B48, Roccia!$B$2:$D997, 3, FALSE)*(1+Datos!$E$1)), "Revisar")</f>
        <v>87.334</v>
      </c>
      <c r="G48" s="11">
        <f>IFERROR(F48*Datos!$B$3, "Revisar")</f>
        <v>131.001</v>
      </c>
      <c r="H48" s="12">
        <f>IFERROR(G48*Datos!$B$1, "Revisar")</f>
        <v>75659.11665</v>
      </c>
      <c r="I48" s="13">
        <f>IFERROR((VLOOKUP(B48, Roccia!$B$2:$D997, 3, FALSE) /(1-Datos!$E$1)), "Revisar")</f>
        <v>95.97142857</v>
      </c>
      <c r="J48" s="13">
        <f>IFERROR(I48*Datos!$B$3, "Revisar")</f>
        <v>143.9571429</v>
      </c>
      <c r="K48" s="13">
        <f t="shared" si="3"/>
        <v>12.95614286</v>
      </c>
    </row>
    <row r="49">
      <c r="A49" s="8" t="s">
        <v>63</v>
      </c>
      <c r="B49" s="9" t="s">
        <v>108</v>
      </c>
      <c r="C49" s="10" t="s">
        <v>109</v>
      </c>
      <c r="D49" s="11">
        <f t="shared" ref="D49:E49" si="49">IF(MOD(F49, 5) &lt;= 2.5, FLOOR(F49, 5), CEILING(F49, 5))</f>
        <v>630</v>
      </c>
      <c r="E49" s="11">
        <f t="shared" si="49"/>
        <v>940</v>
      </c>
      <c r="F49" s="11">
        <f>IFERROR((VLOOKUP(B49, Roccia!$B$2:$D997, 3, FALSE)*(1+Datos!$E$1)), "Revisar")</f>
        <v>627.757</v>
      </c>
      <c r="G49" s="11">
        <f>IFERROR(F49*Datos!$B$3, "Revisar")</f>
        <v>941.6355</v>
      </c>
      <c r="H49" s="12">
        <f>IFERROR(G49*Datos!$B$1, "Revisar")</f>
        <v>543837.9106</v>
      </c>
      <c r="I49" s="13">
        <f>IFERROR((VLOOKUP(B49, Roccia!$B$2:$D997, 3, FALSE) /(1-Datos!$E$1)), "Revisar")</f>
        <v>689.8428571</v>
      </c>
      <c r="J49" s="13">
        <f>IFERROR(I49*Datos!$B$3, "Revisar")</f>
        <v>1034.764286</v>
      </c>
      <c r="K49" s="13">
        <f t="shared" si="3"/>
        <v>93.12878571</v>
      </c>
    </row>
    <row r="50">
      <c r="A50" s="8" t="s">
        <v>110</v>
      </c>
      <c r="B50" s="9" t="s">
        <v>111</v>
      </c>
      <c r="C50" s="10" t="s">
        <v>112</v>
      </c>
      <c r="D50" s="11">
        <f t="shared" ref="D50:E50" si="50">IF(MOD(F50, 5) &lt;= 2.5, FLOOR(F50, 5), CEILING(F50, 5))</f>
        <v>35</v>
      </c>
      <c r="E50" s="11">
        <f t="shared" si="50"/>
        <v>50</v>
      </c>
      <c r="F50" s="11">
        <f>IFERROR((VLOOKUP(B50, Roccia!$B$2:$D997, 3, FALSE)*(1+Datos!$E$1)), "Revisar")</f>
        <v>33.28</v>
      </c>
      <c r="G50" s="11">
        <f>IFERROR(F50*Datos!$B$3, "Revisar")</f>
        <v>49.92</v>
      </c>
      <c r="H50" s="12">
        <f>IFERROR(G50*Datos!$B$1, "Revisar")</f>
        <v>28831.10131</v>
      </c>
      <c r="I50" s="13">
        <f>IFERROR((VLOOKUP(B50, Roccia!$B$2:$D997, 3, FALSE) /(1-Datos!$E$1)), "Revisar")</f>
        <v>36.57142857</v>
      </c>
      <c r="J50" s="13">
        <f>IFERROR(I50*Datos!$B$3, "Revisar")</f>
        <v>54.85714286</v>
      </c>
      <c r="K50" s="13">
        <f t="shared" si="3"/>
        <v>4.937142857</v>
      </c>
    </row>
    <row r="51">
      <c r="A51" s="8" t="s">
        <v>110</v>
      </c>
      <c r="B51" s="9" t="s">
        <v>113</v>
      </c>
      <c r="C51" s="10" t="s">
        <v>114</v>
      </c>
      <c r="D51" s="11">
        <f t="shared" ref="D51:E51" si="51">IF(MOD(F51, 5) &lt;= 2.5, FLOOR(F51, 5), CEILING(F51, 5))</f>
        <v>45</v>
      </c>
      <c r="E51" s="11">
        <f t="shared" si="51"/>
        <v>65</v>
      </c>
      <c r="F51" s="11">
        <f>IFERROR((VLOOKUP(B51, Roccia!$B$2:$D997, 3, FALSE)*(1+Datos!$E$1)), "Revisar")</f>
        <v>42.835</v>
      </c>
      <c r="G51" s="11">
        <f>IFERROR(F51*Datos!$B$3, "Revisar")</f>
        <v>64.2525</v>
      </c>
      <c r="H51" s="12">
        <f>IFERROR(G51*Datos!$B$1, "Revisar")</f>
        <v>37108.78079</v>
      </c>
      <c r="I51" s="13">
        <f>IFERROR((VLOOKUP(B51, Roccia!$B$2:$D997, 3, FALSE) /(1-Datos!$E$1)), "Revisar")</f>
        <v>47.07142857</v>
      </c>
      <c r="J51" s="13">
        <f>IFERROR(I51*Datos!$B$3, "Revisar")</f>
        <v>70.60714286</v>
      </c>
      <c r="K51" s="13">
        <f t="shared" si="3"/>
        <v>6.354642857</v>
      </c>
    </row>
    <row r="52">
      <c r="A52" s="8" t="s">
        <v>110</v>
      </c>
      <c r="B52" s="9" t="s">
        <v>115</v>
      </c>
      <c r="C52" s="10" t="s">
        <v>116</v>
      </c>
      <c r="D52" s="11">
        <f t="shared" ref="D52:E52" si="52">IF(MOD(F52, 5) &lt;= 2.5, FLOOR(F52, 5), CEILING(F52, 5))</f>
        <v>60</v>
      </c>
      <c r="E52" s="11">
        <f t="shared" si="52"/>
        <v>95</v>
      </c>
      <c r="F52" s="11">
        <f>IFERROR((VLOOKUP(B52, Roccia!$B$2:$D997, 3, FALSE)*(1+Datos!$E$1)), "Revisar")</f>
        <v>61.776</v>
      </c>
      <c r="G52" s="11">
        <f>IFERROR(F52*Datos!$B$3, "Revisar")</f>
        <v>92.664</v>
      </c>
      <c r="H52" s="12">
        <f>IFERROR(G52*Datos!$B$1, "Revisar")</f>
        <v>53517.73181</v>
      </c>
      <c r="I52" s="13">
        <f>IFERROR((VLOOKUP(B52, Roccia!$B$2:$D997, 3, FALSE) /(1-Datos!$E$1)), "Revisar")</f>
        <v>67.88571429</v>
      </c>
      <c r="J52" s="13">
        <f>IFERROR(I52*Datos!$B$3, "Revisar")</f>
        <v>101.8285714</v>
      </c>
      <c r="K52" s="13">
        <f t="shared" si="3"/>
        <v>9.164571429</v>
      </c>
    </row>
    <row r="53">
      <c r="A53" s="8" t="s">
        <v>110</v>
      </c>
      <c r="B53" s="9" t="s">
        <v>117</v>
      </c>
      <c r="C53" s="10" t="s">
        <v>118</v>
      </c>
      <c r="D53" s="11">
        <f t="shared" ref="D53:E53" si="53">IF(MOD(F53, 5) &lt;= 2.5, FLOOR(F53, 5), CEILING(F53, 5))</f>
        <v>70</v>
      </c>
      <c r="E53" s="11">
        <f t="shared" si="53"/>
        <v>105</v>
      </c>
      <c r="F53" s="11">
        <f>IFERROR((VLOOKUP(B53, Roccia!$B$2:$D997, 3, FALSE)*(1+Datos!$E$1)), "Revisar")</f>
        <v>70.005</v>
      </c>
      <c r="G53" s="11">
        <f>IFERROR(F53*Datos!$B$3, "Revisar")</f>
        <v>105.0075</v>
      </c>
      <c r="H53" s="12">
        <f>IFERROR(G53*Datos!$B$1, "Revisar")</f>
        <v>60646.6721</v>
      </c>
      <c r="I53" s="13">
        <f>IFERROR((VLOOKUP(B53, Roccia!$B$2:$D997, 3, FALSE) /(1-Datos!$E$1)), "Revisar")</f>
        <v>76.92857143</v>
      </c>
      <c r="J53" s="13">
        <f>IFERROR(I53*Datos!$B$3, "Revisar")</f>
        <v>115.3928571</v>
      </c>
      <c r="K53" s="13">
        <f t="shared" si="3"/>
        <v>10.38535714</v>
      </c>
    </row>
    <row r="54">
      <c r="A54" s="8" t="s">
        <v>110</v>
      </c>
      <c r="B54" s="9" t="s">
        <v>119</v>
      </c>
      <c r="C54" s="10" t="s">
        <v>120</v>
      </c>
      <c r="D54" s="11">
        <f t="shared" ref="D54:E54" si="54">IF(MOD(F54, 5) &lt;= 2.5, FLOOR(F54, 5), CEILING(F54, 5))</f>
        <v>65</v>
      </c>
      <c r="E54" s="11">
        <f t="shared" si="54"/>
        <v>100</v>
      </c>
      <c r="F54" s="11">
        <f>IFERROR((VLOOKUP(B54, Roccia!$B$2:$D997, 3, FALSE)*(1+Datos!$E$1)), "Revisar")</f>
        <v>66.872</v>
      </c>
      <c r="G54" s="11">
        <f>IFERROR(F54*Datos!$B$3, "Revisar")</f>
        <v>100.308</v>
      </c>
      <c r="H54" s="12">
        <f>IFERROR(G54*Datos!$B$1, "Revisar")</f>
        <v>57932.4942</v>
      </c>
      <c r="I54" s="13">
        <f>IFERROR((VLOOKUP(B54, Roccia!$B$2:$D997, 3, FALSE) /(1-Datos!$E$1)), "Revisar")</f>
        <v>73.48571429</v>
      </c>
      <c r="J54" s="13">
        <f>IFERROR(I54*Datos!$B$3, "Revisar")</f>
        <v>110.2285714</v>
      </c>
      <c r="K54" s="13">
        <f t="shared" si="3"/>
        <v>9.920571429</v>
      </c>
    </row>
    <row r="55">
      <c r="A55" s="8" t="s">
        <v>110</v>
      </c>
      <c r="B55" s="9" t="s">
        <v>121</v>
      </c>
      <c r="C55" s="10" t="s">
        <v>122</v>
      </c>
      <c r="D55" s="11">
        <f t="shared" ref="D55:E55" si="55">IF(MOD(F55, 5) &lt;= 2.5, FLOOR(F55, 5), CEILING(F55, 5))</f>
        <v>75</v>
      </c>
      <c r="E55" s="11">
        <f t="shared" si="55"/>
        <v>115</v>
      </c>
      <c r="F55" s="11">
        <f>IFERROR((VLOOKUP(B55, Roccia!$B$2:$D997, 3, FALSE)*(1+Datos!$E$1)), "Revisar")</f>
        <v>77.22</v>
      </c>
      <c r="G55" s="11">
        <f>IFERROR(F55*Datos!$B$3, "Revisar")</f>
        <v>115.83</v>
      </c>
      <c r="H55" s="12">
        <f>IFERROR(G55*Datos!$B$1, "Revisar")</f>
        <v>66897.16476</v>
      </c>
      <c r="I55" s="13">
        <f>IFERROR((VLOOKUP(B55, Roccia!$B$2:$D997, 3, FALSE) /(1-Datos!$E$1)), "Revisar")</f>
        <v>84.85714286</v>
      </c>
      <c r="J55" s="13">
        <f>IFERROR(I55*Datos!$B$3, "Revisar")</f>
        <v>127.2857143</v>
      </c>
      <c r="K55" s="13">
        <f t="shared" si="3"/>
        <v>11.45571429</v>
      </c>
    </row>
    <row r="56">
      <c r="A56" s="8" t="s">
        <v>110</v>
      </c>
      <c r="B56" s="9" t="s">
        <v>123</v>
      </c>
      <c r="C56" s="10" t="s">
        <v>124</v>
      </c>
      <c r="D56" s="11">
        <f t="shared" ref="D56:E56" si="56">IF(MOD(F56, 5) &lt;= 2.5, FLOOR(F56, 5), CEILING(F56, 5))</f>
        <v>230</v>
      </c>
      <c r="E56" s="11">
        <f t="shared" si="56"/>
        <v>345</v>
      </c>
      <c r="F56" s="11">
        <f>IFERROR((VLOOKUP(B56, Roccia!$B$2:$D997, 3, FALSE)*(1+Datos!$E$1)), "Revisar")</f>
        <v>230.62</v>
      </c>
      <c r="G56" s="11">
        <f>IFERROR(F56*Datos!$B$3, "Revisar")</f>
        <v>345.93</v>
      </c>
      <c r="H56" s="12">
        <f>IFERROR(G56*Datos!$B$1, "Revisar")</f>
        <v>199790.5224</v>
      </c>
      <c r="I56" s="13">
        <f>IFERROR((VLOOKUP(B56, Roccia!$B$2:$D997, 3, FALSE) /(1-Datos!$E$1)), "Revisar")</f>
        <v>253.4285714</v>
      </c>
      <c r="J56" s="13">
        <f>IFERROR(I56*Datos!$B$3, "Revisar")</f>
        <v>380.1428571</v>
      </c>
      <c r="K56" s="13">
        <f t="shared" si="3"/>
        <v>34.21285714</v>
      </c>
    </row>
    <row r="57">
      <c r="A57" s="8" t="s">
        <v>110</v>
      </c>
      <c r="B57" s="9" t="s">
        <v>125</v>
      </c>
      <c r="C57" s="10" t="s">
        <v>126</v>
      </c>
      <c r="D57" s="11">
        <f t="shared" ref="D57:E57" si="57">IF(MOD(F57, 5) &lt;= 2.5, FLOOR(F57, 5), CEILING(F57, 5))</f>
        <v>30</v>
      </c>
      <c r="E57" s="11">
        <f t="shared" si="57"/>
        <v>45</v>
      </c>
      <c r="F57" s="11">
        <f>IFERROR((VLOOKUP(B57, Roccia!$B$2:$D997, 3, FALSE)*(1+Datos!$E$1)), "Revisar")</f>
        <v>29.38</v>
      </c>
      <c r="G57" s="11">
        <f>IFERROR(F57*Datos!$B$3, "Revisar")</f>
        <v>44.07</v>
      </c>
      <c r="H57" s="12">
        <f>IFERROR(G57*Datos!$B$1, "Revisar")</f>
        <v>25452.45663</v>
      </c>
      <c r="I57" s="13">
        <f>IFERROR((VLOOKUP(B57, Roccia!$B$2:$D997, 3, FALSE) /(1-Datos!$E$1)), "Revisar")</f>
        <v>32.28571429</v>
      </c>
      <c r="J57" s="13">
        <f>IFERROR(I57*Datos!$B$3, "Revisar")</f>
        <v>48.42857143</v>
      </c>
      <c r="K57" s="13">
        <f t="shared" si="3"/>
        <v>4.358571429</v>
      </c>
    </row>
    <row r="58">
      <c r="A58" s="8" t="s">
        <v>110</v>
      </c>
      <c r="B58" s="9" t="s">
        <v>127</v>
      </c>
      <c r="C58" s="10" t="s">
        <v>128</v>
      </c>
      <c r="D58" s="11">
        <f t="shared" ref="D58:E58" si="58">IF(MOD(F58, 5) &lt;= 2.5, FLOOR(F58, 5), CEILING(F58, 5))</f>
        <v>370</v>
      </c>
      <c r="E58" s="11">
        <f t="shared" si="58"/>
        <v>555</v>
      </c>
      <c r="F58" s="11">
        <f>IFERROR((VLOOKUP(B58, Roccia!$B$2:$D997, 3, FALSE)*(1+Datos!$E$1)), "Revisar")</f>
        <v>369.772</v>
      </c>
      <c r="G58" s="11">
        <f>IFERROR(F58*Datos!$B$3, "Revisar")</f>
        <v>554.658</v>
      </c>
      <c r="H58" s="12">
        <f>IFERROR(G58*Datos!$B$1, "Revisar")</f>
        <v>320340.5647</v>
      </c>
      <c r="I58" s="13">
        <f>IFERROR((VLOOKUP(B58, Roccia!$B$2:$D997, 3, FALSE) /(1-Datos!$E$1)), "Revisar")</f>
        <v>406.3428571</v>
      </c>
      <c r="J58" s="13">
        <f>IFERROR(I58*Datos!$B$3, "Revisar")</f>
        <v>609.5142857</v>
      </c>
      <c r="K58" s="13">
        <f t="shared" si="3"/>
        <v>54.85628571</v>
      </c>
    </row>
    <row r="59">
      <c r="A59" s="8" t="s">
        <v>110</v>
      </c>
      <c r="B59" s="9" t="s">
        <v>129</v>
      </c>
      <c r="C59" s="10" t="s">
        <v>130</v>
      </c>
      <c r="D59" s="11">
        <f t="shared" ref="D59:E59" si="59">IF(MOD(F59, 5) &lt;= 2.5, FLOOR(F59, 5), CEILING(F59, 5))</f>
        <v>50</v>
      </c>
      <c r="E59" s="11">
        <f t="shared" si="59"/>
        <v>75</v>
      </c>
      <c r="F59" s="11">
        <f>IFERROR((VLOOKUP(B59, Roccia!$B$2:$D997, 3, FALSE)*(1+Datos!$E$1)), "Revisar")</f>
        <v>51.129</v>
      </c>
      <c r="G59" s="11">
        <f>IFERROR(F59*Datos!$B$3, "Revisar")</f>
        <v>76.6935</v>
      </c>
      <c r="H59" s="12">
        <f>IFERROR(G59*Datos!$B$1, "Revisar")</f>
        <v>44294.03182</v>
      </c>
      <c r="I59" s="13">
        <f>IFERROR((VLOOKUP(B59, Roccia!$B$2:$D997, 3, FALSE) /(1-Datos!$E$1)), "Revisar")</f>
        <v>56.18571429</v>
      </c>
      <c r="J59" s="13">
        <f>IFERROR(I59*Datos!$B$3, "Revisar")</f>
        <v>84.27857143</v>
      </c>
      <c r="K59" s="13">
        <f t="shared" si="3"/>
        <v>7.585071429</v>
      </c>
    </row>
    <row r="60">
      <c r="A60" s="8" t="s">
        <v>110</v>
      </c>
      <c r="B60" s="9" t="s">
        <v>131</v>
      </c>
      <c r="C60" s="10" t="s">
        <v>132</v>
      </c>
      <c r="D60" s="11">
        <f t="shared" ref="D60:E60" si="60">IF(MOD(F60, 5) &lt;= 2.5, FLOOR(F60, 5), CEILING(F60, 5))</f>
        <v>75</v>
      </c>
      <c r="E60" s="11">
        <f t="shared" si="60"/>
        <v>115</v>
      </c>
      <c r="F60" s="11">
        <f>IFERROR((VLOOKUP(B60, Roccia!$B$2:$D997, 3, FALSE)*(1+Datos!$E$1)), "Revisar")</f>
        <v>76.921</v>
      </c>
      <c r="G60" s="11">
        <f>IFERROR(F60*Datos!$B$3, "Revisar")</f>
        <v>115.3815</v>
      </c>
      <c r="H60" s="12">
        <f>IFERROR(G60*Datos!$B$1, "Revisar")</f>
        <v>66638.13534</v>
      </c>
      <c r="I60" s="13">
        <f>IFERROR((VLOOKUP(B60, Roccia!$B$2:$D997, 3, FALSE) /(1-Datos!$E$1)), "Revisar")</f>
        <v>84.52857143</v>
      </c>
      <c r="J60" s="13">
        <f>IFERROR(I60*Datos!$B$3, "Revisar")</f>
        <v>126.7928571</v>
      </c>
      <c r="K60" s="13">
        <f t="shared" si="3"/>
        <v>11.41135714</v>
      </c>
    </row>
    <row r="61">
      <c r="A61" s="8" t="s">
        <v>133</v>
      </c>
      <c r="B61" s="9" t="s">
        <v>134</v>
      </c>
      <c r="C61" s="10" t="s">
        <v>135</v>
      </c>
      <c r="D61" s="11">
        <f t="shared" ref="D61:E61" si="61">IF(MOD(F61, 5) &lt;= 2.5, FLOOR(F61, 5), CEILING(F61, 5))</f>
        <v>110</v>
      </c>
      <c r="E61" s="11">
        <f t="shared" si="61"/>
        <v>165</v>
      </c>
      <c r="F61" s="11">
        <f>IFERROR((VLOOKUP(B61, Roccia!$B$2:$D997, 3, FALSE)*(1+Datos!$E$1)), "Revisar")</f>
        <v>111.527</v>
      </c>
      <c r="G61" s="11">
        <f>IFERROR(F61*Datos!$B$3, "Revisar")</f>
        <v>167.2905</v>
      </c>
      <c r="H61" s="12">
        <f>IFERROR(G61*Datos!$B$1, "Revisar")</f>
        <v>96617.97584</v>
      </c>
      <c r="I61" s="13">
        <f>IFERROR((VLOOKUP(B61, Roccia!$B$2:$D997, 3, FALSE) /(1-Datos!$E$1)), "Revisar")</f>
        <v>122.5571429</v>
      </c>
      <c r="J61" s="13">
        <f>IFERROR(I61*Datos!$B$3, "Revisar")</f>
        <v>183.8357143</v>
      </c>
      <c r="K61" s="13">
        <f t="shared" si="3"/>
        <v>16.54521429</v>
      </c>
    </row>
    <row r="62">
      <c r="A62" s="8" t="s">
        <v>133</v>
      </c>
      <c r="B62" s="9" t="s">
        <v>136</v>
      </c>
      <c r="C62" s="10" t="s">
        <v>137</v>
      </c>
      <c r="D62" s="11">
        <f t="shared" ref="D62:E62" si="62">IF(MOD(F62, 5) &lt;= 2.5, FLOOR(F62, 5), CEILING(F62, 5))</f>
        <v>180</v>
      </c>
      <c r="E62" s="11">
        <f t="shared" si="62"/>
        <v>270</v>
      </c>
      <c r="F62" s="11">
        <f>IFERROR((VLOOKUP(B62, Roccia!$B$2:$D997, 3, FALSE)*(1+Datos!$E$1)), "Revisar")</f>
        <v>180.778</v>
      </c>
      <c r="G62" s="11">
        <f>IFERROR(F62*Datos!$B$3, "Revisar")</f>
        <v>271.167</v>
      </c>
      <c r="H62" s="12">
        <f>IFERROR(G62*Datos!$B$1, "Revisar")</f>
        <v>156611.4433</v>
      </c>
      <c r="I62" s="13">
        <f>IFERROR((VLOOKUP(B62, Roccia!$B$2:$D997, 3, FALSE) /(1-Datos!$E$1)), "Revisar")</f>
        <v>198.6571429</v>
      </c>
      <c r="J62" s="13">
        <f>IFERROR(I62*Datos!$B$3, "Revisar")</f>
        <v>297.9857143</v>
      </c>
      <c r="K62" s="13">
        <f t="shared" si="3"/>
        <v>26.81871429</v>
      </c>
    </row>
    <row r="63">
      <c r="A63" s="8" t="s">
        <v>133</v>
      </c>
      <c r="B63" s="9" t="s">
        <v>138</v>
      </c>
      <c r="C63" s="10" t="s">
        <v>139</v>
      </c>
      <c r="D63" s="11">
        <f t="shared" ref="D63:E63" si="63">IF(MOD(F63, 5) &lt;= 2.5, FLOOR(F63, 5), CEILING(F63, 5))</f>
        <v>190</v>
      </c>
      <c r="E63" s="11">
        <f t="shared" si="63"/>
        <v>280</v>
      </c>
      <c r="F63" s="11">
        <f>IFERROR((VLOOKUP(B63, Roccia!$B$2:$D997, 3, FALSE)*(1+Datos!$E$1)), "Revisar")</f>
        <v>188.019</v>
      </c>
      <c r="G63" s="11">
        <f>IFERROR(F63*Datos!$B$3, "Revisar")</f>
        <v>282.0285</v>
      </c>
      <c r="H63" s="12">
        <f>IFERROR(G63*Datos!$B$1, "Revisar")</f>
        <v>162884.4603</v>
      </c>
      <c r="I63" s="13">
        <f>IFERROR((VLOOKUP(B63, Roccia!$B$2:$D997, 3, FALSE) /(1-Datos!$E$1)), "Revisar")</f>
        <v>206.6142857</v>
      </c>
      <c r="J63" s="13">
        <f>IFERROR(I63*Datos!$B$3, "Revisar")</f>
        <v>309.9214286</v>
      </c>
      <c r="K63" s="13">
        <f t="shared" si="3"/>
        <v>27.89292857</v>
      </c>
    </row>
    <row r="64">
      <c r="A64" s="8" t="s">
        <v>133</v>
      </c>
      <c r="B64" s="9" t="s">
        <v>140</v>
      </c>
      <c r="C64" s="10" t="s">
        <v>141</v>
      </c>
      <c r="D64" s="11">
        <f t="shared" ref="D64:E64" si="64">IF(MOD(F64, 5) &lt;= 2.5, FLOOR(F64, 5), CEILING(F64, 5))</f>
        <v>195</v>
      </c>
      <c r="E64" s="11">
        <f t="shared" si="64"/>
        <v>295</v>
      </c>
      <c r="F64" s="11">
        <f>IFERROR((VLOOKUP(B64, Roccia!$B$2:$D997, 3, FALSE)*(1+Datos!$E$1)), "Revisar")</f>
        <v>195.429</v>
      </c>
      <c r="G64" s="11">
        <f>IFERROR(F64*Datos!$B$3, "Revisar")</f>
        <v>293.1435</v>
      </c>
      <c r="H64" s="12">
        <f>IFERROR(G64*Datos!$B$1, "Revisar")</f>
        <v>169303.8852</v>
      </c>
      <c r="I64" s="13">
        <f>IFERROR((VLOOKUP(B64, Roccia!$B$2:$D997, 3, FALSE) /(1-Datos!$E$1)), "Revisar")</f>
        <v>214.7571429</v>
      </c>
      <c r="J64" s="13">
        <f>IFERROR(I64*Datos!$B$3, "Revisar")</f>
        <v>322.1357143</v>
      </c>
      <c r="K64" s="13">
        <f t="shared" si="3"/>
        <v>28.99221429</v>
      </c>
    </row>
    <row r="65">
      <c r="A65" s="8" t="s">
        <v>133</v>
      </c>
      <c r="B65" s="9" t="s">
        <v>142</v>
      </c>
      <c r="C65" s="10" t="s">
        <v>143</v>
      </c>
      <c r="D65" s="11">
        <f t="shared" ref="D65:E65" si="65">IF(MOD(F65, 5) &lt;= 2.5, FLOOR(F65, 5), CEILING(F65, 5))</f>
        <v>635</v>
      </c>
      <c r="E65" s="11">
        <f t="shared" si="65"/>
        <v>955</v>
      </c>
      <c r="F65" s="11">
        <f>IFERROR((VLOOKUP(B65, Roccia!$B$2:$D997, 3, FALSE)*(1+Datos!$E$1)), "Revisar")</f>
        <v>637.078</v>
      </c>
      <c r="G65" s="11">
        <f>IFERROR(F65*Datos!$B$3, "Revisar")</f>
        <v>955.617</v>
      </c>
      <c r="H65" s="12">
        <f>IFERROR(G65*Datos!$B$1, "Revisar")</f>
        <v>551912.8714</v>
      </c>
      <c r="I65" s="13">
        <f>IFERROR((VLOOKUP(B65, Roccia!$B$2:$D997, 3, FALSE) /(1-Datos!$E$1)), "Revisar")</f>
        <v>700.0857143</v>
      </c>
      <c r="J65" s="13">
        <f>IFERROR(I65*Datos!$B$3, "Revisar")</f>
        <v>1050.128571</v>
      </c>
      <c r="K65" s="13">
        <f t="shared" si="3"/>
        <v>94.51157143</v>
      </c>
    </row>
    <row r="66">
      <c r="A66" s="8" t="s">
        <v>133</v>
      </c>
      <c r="B66" s="9" t="s">
        <v>144</v>
      </c>
      <c r="C66" s="10" t="s">
        <v>145</v>
      </c>
      <c r="D66" s="11">
        <f t="shared" ref="D66:E66" si="66">IF(MOD(F66, 5) &lt;= 2.5, FLOOR(F66, 5), CEILING(F66, 5))</f>
        <v>810</v>
      </c>
      <c r="E66" s="11">
        <f t="shared" si="66"/>
        <v>1215</v>
      </c>
      <c r="F66" s="11">
        <f>IFERROR((VLOOKUP(B66, Roccia!$B$2:$D997, 3, FALSE)*(1+Datos!$E$1)), "Revisar")</f>
        <v>808.34</v>
      </c>
      <c r="G66" s="11">
        <f>IFERROR(F66*Datos!$B$3, "Revisar")</f>
        <v>1212.51</v>
      </c>
      <c r="H66" s="12">
        <f>IFERROR(G66*Datos!$B$1, "Revisar")</f>
        <v>700280.4217</v>
      </c>
      <c r="I66" s="13">
        <f>IFERROR((VLOOKUP(B66, Roccia!$B$2:$D997, 3, FALSE) /(1-Datos!$E$1)), "Revisar")</f>
        <v>888.2857143</v>
      </c>
      <c r="J66" s="13">
        <f>IFERROR(I66*Datos!$B$3, "Revisar")</f>
        <v>1332.428571</v>
      </c>
      <c r="K66" s="13">
        <f t="shared" si="3"/>
        <v>119.9185714</v>
      </c>
    </row>
    <row r="67">
      <c r="A67" s="8" t="s">
        <v>133</v>
      </c>
      <c r="B67" s="9" t="s">
        <v>146</v>
      </c>
      <c r="C67" s="10" t="s">
        <v>147</v>
      </c>
      <c r="D67" s="11">
        <f t="shared" ref="D67:E67" si="67">IF(MOD(F67, 5) &lt;= 2.5, FLOOR(F67, 5), CEILING(F67, 5))</f>
        <v>850</v>
      </c>
      <c r="E67" s="11">
        <f t="shared" si="67"/>
        <v>1270</v>
      </c>
      <c r="F67" s="11">
        <f>IFERROR((VLOOKUP(B67, Roccia!$B$2:$D997, 3, FALSE)*(1+Datos!$E$1)), "Revisar")</f>
        <v>847.574</v>
      </c>
      <c r="G67" s="11">
        <f>IFERROR(F67*Datos!$B$3, "Revisar")</f>
        <v>1271.361</v>
      </c>
      <c r="H67" s="12">
        <f>IFERROR(G67*Datos!$B$1, "Revisar")</f>
        <v>734269.5872</v>
      </c>
      <c r="I67" s="13">
        <f>IFERROR((VLOOKUP(B67, Roccia!$B$2:$D997, 3, FALSE) /(1-Datos!$E$1)), "Revisar")</f>
        <v>931.4</v>
      </c>
      <c r="J67" s="13">
        <f>IFERROR(I67*Datos!$B$3, "Revisar")</f>
        <v>1397.1</v>
      </c>
      <c r="K67" s="13">
        <f t="shared" si="3"/>
        <v>125.739</v>
      </c>
    </row>
    <row r="68">
      <c r="A68" s="8" t="s">
        <v>133</v>
      </c>
      <c r="B68" s="9" t="s">
        <v>148</v>
      </c>
      <c r="C68" s="10" t="s">
        <v>149</v>
      </c>
      <c r="D68" s="11">
        <f t="shared" ref="D68:E68" si="68">IF(MOD(F68, 5) &lt;= 2.5, FLOOR(F68, 5), CEILING(F68, 5))</f>
        <v>1655</v>
      </c>
      <c r="E68" s="11">
        <f t="shared" si="68"/>
        <v>2480</v>
      </c>
      <c r="F68" s="11">
        <f>IFERROR((VLOOKUP(B68, Roccia!$B$2:$D997, 3, FALSE)*(1+Datos!$E$1)), "Revisar")</f>
        <v>1653.054</v>
      </c>
      <c r="G68" s="11">
        <f>IFERROR(F68*Datos!$B$3, "Revisar")</f>
        <v>2479.581</v>
      </c>
      <c r="H68" s="12">
        <f>IFERROR(G68*Datos!$B$1, "Revisar")</f>
        <v>1432072.336</v>
      </c>
      <c r="I68" s="13">
        <f>IFERROR((VLOOKUP(B68, Roccia!$B$2:$D997, 3, FALSE) /(1-Datos!$E$1)), "Revisar")</f>
        <v>1816.542857</v>
      </c>
      <c r="J68" s="13">
        <f>IFERROR(I68*Datos!$B$3, "Revisar")</f>
        <v>2724.814286</v>
      </c>
      <c r="K68" s="13">
        <f t="shared" si="3"/>
        <v>245.2332857</v>
      </c>
    </row>
    <row r="69">
      <c r="A69" s="8" t="s">
        <v>133</v>
      </c>
      <c r="B69" s="9" t="s">
        <v>150</v>
      </c>
      <c r="C69" s="10" t="s">
        <v>151</v>
      </c>
      <c r="D69" s="11">
        <f t="shared" ref="D69:E69" si="69">IF(MOD(F69, 5) &lt;= 2.5, FLOOR(F69, 5), CEILING(F69, 5))</f>
        <v>1005</v>
      </c>
      <c r="E69" s="11">
        <f t="shared" si="69"/>
        <v>1510</v>
      </c>
      <c r="F69" s="11">
        <f>IFERROR((VLOOKUP(B69, Roccia!$B$2:$D997, 3, FALSE)*(1+Datos!$E$1)), "Revisar")</f>
        <v>1007.409</v>
      </c>
      <c r="G69" s="11">
        <f>IFERROR(F69*Datos!$B$3, "Revisar")</f>
        <v>1511.1135</v>
      </c>
      <c r="H69" s="12">
        <f>IFERROR(G69*Datos!$B$1, "Revisar")</f>
        <v>872737.7086</v>
      </c>
      <c r="I69" s="13">
        <f>IFERROR((VLOOKUP(B69, Roccia!$B$2:$D997, 3, FALSE) /(1-Datos!$E$1)), "Revisar")</f>
        <v>1107.042857</v>
      </c>
      <c r="J69" s="13">
        <f>IFERROR(I69*Datos!$B$3, "Revisar")</f>
        <v>1660.564286</v>
      </c>
      <c r="K69" s="13">
        <f t="shared" si="3"/>
        <v>149.4507857</v>
      </c>
    </row>
    <row r="70">
      <c r="A70" s="8" t="s">
        <v>133</v>
      </c>
      <c r="B70" s="9" t="s">
        <v>152</v>
      </c>
      <c r="C70" s="10" t="s">
        <v>153</v>
      </c>
      <c r="D70" s="11">
        <f t="shared" ref="D70:E70" si="70">IF(MOD(F70, 5) &lt;= 2.5, FLOOR(F70, 5), CEILING(F70, 5))</f>
        <v>1055</v>
      </c>
      <c r="E70" s="11">
        <f t="shared" si="70"/>
        <v>1585</v>
      </c>
      <c r="F70" s="11">
        <f>IFERROR((VLOOKUP(B70, Roccia!$B$2:$D997, 3, FALSE)*(1+Datos!$E$1)), "Revisar")</f>
        <v>1057.303</v>
      </c>
      <c r="G70" s="11">
        <f>IFERROR(F70*Datos!$B$3, "Revisar")</f>
        <v>1585.9545</v>
      </c>
      <c r="H70" s="12">
        <f>IFERROR(G70*Datos!$B$1, "Revisar")</f>
        <v>915961.8363</v>
      </c>
      <c r="I70" s="13">
        <f>IFERROR((VLOOKUP(B70, Roccia!$B$2:$D997, 3, FALSE) /(1-Datos!$E$1)), "Revisar")</f>
        <v>1161.871429</v>
      </c>
      <c r="J70" s="13">
        <f>IFERROR(I70*Datos!$B$3, "Revisar")</f>
        <v>1742.807143</v>
      </c>
      <c r="K70" s="13">
        <f t="shared" si="3"/>
        <v>156.8526429</v>
      </c>
    </row>
    <row r="71">
      <c r="A71" s="8" t="s">
        <v>133</v>
      </c>
      <c r="B71" s="9" t="s">
        <v>154</v>
      </c>
      <c r="C71" s="10" t="s">
        <v>155</v>
      </c>
      <c r="D71" s="11">
        <f t="shared" ref="D71:E71" si="71">IF(MOD(F71, 5) &lt;= 2.5, FLOOR(F71, 5), CEILING(F71, 5))</f>
        <v>125</v>
      </c>
      <c r="E71" s="11">
        <f t="shared" si="71"/>
        <v>190</v>
      </c>
      <c r="F71" s="11">
        <f>IFERROR((VLOOKUP(B71, Roccia!$B$2:$D997, 3, FALSE)*(1+Datos!$E$1)), "Revisar")</f>
        <v>126.087</v>
      </c>
      <c r="G71" s="11">
        <f>IFERROR(F71*Datos!$B$3, "Revisar")</f>
        <v>189.1305</v>
      </c>
      <c r="H71" s="12">
        <f>IFERROR(G71*Datos!$B$1, "Revisar")</f>
        <v>109231.5827</v>
      </c>
      <c r="I71" s="13">
        <f>IFERROR((VLOOKUP(B71, Roccia!$B$2:$D997, 3, FALSE) /(1-Datos!$E$1)), "Revisar")</f>
        <v>138.5571429</v>
      </c>
      <c r="J71" s="13">
        <f>IFERROR(I71*Datos!$B$3, "Revisar")</f>
        <v>207.8357143</v>
      </c>
      <c r="K71" s="13">
        <f t="shared" si="3"/>
        <v>18.70521429</v>
      </c>
    </row>
    <row r="72">
      <c r="A72" s="8" t="s">
        <v>133</v>
      </c>
      <c r="B72" s="9" t="s">
        <v>156</v>
      </c>
      <c r="C72" s="10" t="s">
        <v>157</v>
      </c>
      <c r="D72" s="11">
        <f t="shared" ref="D72:E72" si="72">IF(MOD(F72, 5) &lt;= 2.5, FLOOR(F72, 5), CEILING(F72, 5))</f>
        <v>170</v>
      </c>
      <c r="E72" s="11">
        <f t="shared" si="72"/>
        <v>255</v>
      </c>
      <c r="F72" s="11">
        <f>IFERROR((VLOOKUP(B72, Roccia!$B$2:$D997, 3, FALSE)*(1+Datos!$E$1)), "Revisar")</f>
        <v>169.676</v>
      </c>
      <c r="G72" s="11">
        <f>IFERROR(F72*Datos!$B$3, "Revisar")</f>
        <v>254.514</v>
      </c>
      <c r="H72" s="12">
        <f>IFERROR(G72*Datos!$B$1, "Revisar")</f>
        <v>146993.5681</v>
      </c>
      <c r="I72" s="13">
        <f>IFERROR((VLOOKUP(B72, Roccia!$B$2:$D997, 3, FALSE) /(1-Datos!$E$1)), "Revisar")</f>
        <v>186.4571429</v>
      </c>
      <c r="J72" s="13">
        <f>IFERROR(I72*Datos!$B$3, "Revisar")</f>
        <v>279.6857143</v>
      </c>
      <c r="K72" s="13">
        <f t="shared" si="3"/>
        <v>25.17171429</v>
      </c>
    </row>
    <row r="73">
      <c r="A73" s="8" t="s">
        <v>133</v>
      </c>
      <c r="B73" s="9" t="s">
        <v>158</v>
      </c>
      <c r="C73" s="10" t="s">
        <v>159</v>
      </c>
      <c r="D73" s="11">
        <f t="shared" ref="D73:E73" si="73">IF(MOD(F73, 5) &lt;= 2.5, FLOOR(F73, 5), CEILING(F73, 5))</f>
        <v>220</v>
      </c>
      <c r="E73" s="11">
        <f t="shared" si="73"/>
        <v>330</v>
      </c>
      <c r="F73" s="11">
        <f>IFERROR((VLOOKUP(B73, Roccia!$B$2:$D997, 3, FALSE)*(1+Datos!$E$1)), "Revisar")</f>
        <v>218.543</v>
      </c>
      <c r="G73" s="11">
        <f>IFERROR(F73*Datos!$B$3, "Revisar")</f>
        <v>327.8145</v>
      </c>
      <c r="H73" s="12">
        <f>IFERROR(G73*Datos!$B$1, "Revisar")</f>
        <v>189327.986</v>
      </c>
      <c r="I73" s="13">
        <f>IFERROR((VLOOKUP(B73, Roccia!$B$2:$D997, 3, FALSE) /(1-Datos!$E$1)), "Revisar")</f>
        <v>240.1571429</v>
      </c>
      <c r="J73" s="13">
        <f>IFERROR(I73*Datos!$B$3, "Revisar")</f>
        <v>360.2357143</v>
      </c>
      <c r="K73" s="13">
        <f t="shared" si="3"/>
        <v>32.42121429</v>
      </c>
    </row>
    <row r="74">
      <c r="A74" s="8" t="s">
        <v>133</v>
      </c>
      <c r="B74" s="9" t="s">
        <v>160</v>
      </c>
      <c r="C74" s="10" t="s">
        <v>161</v>
      </c>
      <c r="D74" s="11">
        <f t="shared" ref="D74:E74" si="74">IF(MOD(F74, 5) &lt;= 2.5, FLOOR(F74, 5), CEILING(F74, 5))</f>
        <v>285</v>
      </c>
      <c r="E74" s="11">
        <f t="shared" si="74"/>
        <v>425</v>
      </c>
      <c r="F74" s="11">
        <f>IFERROR((VLOOKUP(B74, Roccia!$B$2:$D997, 3, FALSE)*(1+Datos!$E$1)), "Revisar")</f>
        <v>283.4</v>
      </c>
      <c r="G74" s="11">
        <f>IFERROR(F74*Datos!$B$3, "Revisar")</f>
        <v>425.1</v>
      </c>
      <c r="H74" s="12">
        <f>IFERROR(G74*Datos!$B$1, "Revisar")</f>
        <v>245514.8471</v>
      </c>
      <c r="I74" s="13">
        <f>IFERROR((VLOOKUP(B74, Roccia!$B$2:$D997, 3, FALSE) /(1-Datos!$E$1)), "Revisar")</f>
        <v>311.4285714</v>
      </c>
      <c r="J74" s="13">
        <f>IFERROR(I74*Datos!$B$3, "Revisar")</f>
        <v>467.1428571</v>
      </c>
      <c r="K74" s="13">
        <f t="shared" si="3"/>
        <v>42.04285714</v>
      </c>
    </row>
    <row r="75">
      <c r="A75" s="8" t="s">
        <v>133</v>
      </c>
      <c r="B75" s="9" t="s">
        <v>162</v>
      </c>
      <c r="C75" s="10" t="s">
        <v>163</v>
      </c>
      <c r="D75" s="11">
        <f t="shared" ref="D75:E75" si="75">IF(MOD(F75, 5) &lt;= 2.5, FLOOR(F75, 5), CEILING(F75, 5))</f>
        <v>140</v>
      </c>
      <c r="E75" s="11">
        <f t="shared" si="75"/>
        <v>210</v>
      </c>
      <c r="F75" s="11">
        <f>IFERROR((VLOOKUP(B75, Roccia!$B$2:$D997, 3, FALSE)*(1+Datos!$E$1)), "Revisar")</f>
        <v>140.478</v>
      </c>
      <c r="G75" s="11">
        <f>IFERROR(F75*Datos!$B$3, "Revisar")</f>
        <v>210.717</v>
      </c>
      <c r="H75" s="12">
        <f>IFERROR(G75*Datos!$B$1, "Revisar")</f>
        <v>121698.7816</v>
      </c>
      <c r="I75" s="13">
        <f>IFERROR((VLOOKUP(B75, Roccia!$B$2:$D997, 3, FALSE) /(1-Datos!$E$1)), "Revisar")</f>
        <v>154.3714286</v>
      </c>
      <c r="J75" s="13">
        <f>IFERROR(I75*Datos!$B$3, "Revisar")</f>
        <v>231.5571429</v>
      </c>
      <c r="K75" s="13">
        <f t="shared" si="3"/>
        <v>20.84014286</v>
      </c>
    </row>
    <row r="76">
      <c r="A76" s="8" t="s">
        <v>133</v>
      </c>
      <c r="B76" s="9" t="s">
        <v>164</v>
      </c>
      <c r="C76" s="10" t="s">
        <v>165</v>
      </c>
      <c r="D76" s="11">
        <f t="shared" ref="D76:E76" si="76">IF(MOD(F76, 5) &lt;= 2.5, FLOOR(F76, 5), CEILING(F76, 5))</f>
        <v>245</v>
      </c>
      <c r="E76" s="11">
        <f t="shared" si="76"/>
        <v>365</v>
      </c>
      <c r="F76" s="11">
        <f>IFERROR((VLOOKUP(B76, Roccia!$B$2:$D997, 3, FALSE)*(1+Datos!$E$1)), "Revisar")</f>
        <v>244.049</v>
      </c>
      <c r="G76" s="11">
        <f>IFERROR(F76*Datos!$B$3, "Revisar")</f>
        <v>366.0735</v>
      </c>
      <c r="H76" s="12">
        <f>IFERROR(G76*Datos!$B$1, "Revisar")</f>
        <v>211424.3222</v>
      </c>
      <c r="I76" s="13">
        <f>IFERROR((VLOOKUP(B76, Roccia!$B$2:$D997, 3, FALSE) /(1-Datos!$E$1)), "Revisar")</f>
        <v>268.1857143</v>
      </c>
      <c r="J76" s="13">
        <f>IFERROR(I76*Datos!$B$3, "Revisar")</f>
        <v>402.2785714</v>
      </c>
      <c r="K76" s="13">
        <f t="shared" si="3"/>
        <v>36.20507143</v>
      </c>
    </row>
    <row r="77">
      <c r="A77" s="8" t="s">
        <v>133</v>
      </c>
      <c r="B77" s="9" t="s">
        <v>166</v>
      </c>
      <c r="C77" s="10" t="s">
        <v>167</v>
      </c>
      <c r="D77" s="11">
        <f t="shared" ref="D77:E77" si="77">IF(MOD(F77, 5) &lt;= 2.5, FLOOR(F77, 5), CEILING(F77, 5))</f>
        <v>270</v>
      </c>
      <c r="E77" s="11">
        <f t="shared" si="77"/>
        <v>410</v>
      </c>
      <c r="F77" s="11">
        <f>IFERROR((VLOOKUP(B77, Roccia!$B$2:$D997, 3, FALSE)*(1+Datos!$E$1)), "Revisar")</f>
        <v>271.687</v>
      </c>
      <c r="G77" s="11">
        <f>IFERROR(F77*Datos!$B$3, "Revisar")</f>
        <v>407.5305</v>
      </c>
      <c r="H77" s="12">
        <f>IFERROR(G77*Datos!$B$1, "Revisar")</f>
        <v>235367.6509</v>
      </c>
      <c r="I77" s="13">
        <f>IFERROR((VLOOKUP(B77, Roccia!$B$2:$D997, 3, FALSE) /(1-Datos!$E$1)), "Revisar")</f>
        <v>298.5571429</v>
      </c>
      <c r="J77" s="13">
        <f>IFERROR(I77*Datos!$B$3, "Revisar")</f>
        <v>447.8357143</v>
      </c>
      <c r="K77" s="13">
        <f t="shared" si="3"/>
        <v>40.30521429</v>
      </c>
    </row>
    <row r="78">
      <c r="A78" s="8" t="s">
        <v>133</v>
      </c>
      <c r="B78" s="9" t="s">
        <v>168</v>
      </c>
      <c r="C78" s="10" t="s">
        <v>169</v>
      </c>
      <c r="D78" s="11">
        <f t="shared" ref="D78:E78" si="78">IF(MOD(F78, 5) &lt;= 2.5, FLOOR(F78, 5), CEILING(F78, 5))</f>
        <v>135</v>
      </c>
      <c r="E78" s="11">
        <f t="shared" si="78"/>
        <v>200</v>
      </c>
      <c r="F78" s="11">
        <f>IFERROR((VLOOKUP(B78, Roccia!$B$2:$D997, 3, FALSE)*(1+Datos!$E$1)), "Revisar")</f>
        <v>134.81</v>
      </c>
      <c r="G78" s="11">
        <f>IFERROR(F78*Datos!$B$3, "Revisar")</f>
        <v>202.215</v>
      </c>
      <c r="H78" s="12">
        <f>IFERROR(G78*Datos!$B$1, "Revisar")</f>
        <v>116788.4846</v>
      </c>
      <c r="I78" s="13">
        <f>IFERROR((VLOOKUP(B78, Roccia!$B$2:$D997, 3, FALSE) /(1-Datos!$E$1)), "Revisar")</f>
        <v>148.1428571</v>
      </c>
      <c r="J78" s="13">
        <f>IFERROR(I78*Datos!$B$3, "Revisar")</f>
        <v>222.2142857</v>
      </c>
      <c r="K78" s="13">
        <f t="shared" si="3"/>
        <v>19.99928571</v>
      </c>
    </row>
    <row r="79">
      <c r="A79" s="8" t="s">
        <v>170</v>
      </c>
      <c r="B79" s="9" t="s">
        <v>171</v>
      </c>
      <c r="C79" s="10" t="s">
        <v>172</v>
      </c>
      <c r="D79" s="11">
        <f t="shared" ref="D79:E79" si="79">IF(MOD(F79, 5) &lt;= 2.5, FLOOR(F79, 5), CEILING(F79, 5))</f>
        <v>155</v>
      </c>
      <c r="E79" s="11">
        <f t="shared" si="79"/>
        <v>235</v>
      </c>
      <c r="F79" s="11">
        <f>IFERROR((VLOOKUP(B79, Roccia!$B$2:$D997, 3, FALSE)*(1+Datos!$E$1)), "Revisar")</f>
        <v>155.207</v>
      </c>
      <c r="G79" s="11">
        <f>IFERROR(F79*Datos!$B$3, "Revisar")</f>
        <v>232.8105</v>
      </c>
      <c r="H79" s="12">
        <f>IFERROR(G79*Datos!$B$1, "Revisar")</f>
        <v>134458.7963</v>
      </c>
      <c r="I79" s="13">
        <f>IFERROR((VLOOKUP(B79, Roccia!$B$2:$D997, 3, FALSE) /(1-Datos!$E$1)), "Revisar")</f>
        <v>170.5571429</v>
      </c>
      <c r="J79" s="13">
        <f>IFERROR(I79*Datos!$B$3, "Revisar")</f>
        <v>255.8357143</v>
      </c>
      <c r="K79" s="13">
        <f t="shared" si="3"/>
        <v>23.02521429</v>
      </c>
    </row>
    <row r="80">
      <c r="A80" s="8" t="s">
        <v>170</v>
      </c>
      <c r="B80" s="9" t="s">
        <v>173</v>
      </c>
      <c r="C80" s="10" t="s">
        <v>174</v>
      </c>
      <c r="D80" s="11">
        <f t="shared" ref="D80:E80" si="80">IF(MOD(F80, 5) &lt;= 2.5, FLOOR(F80, 5), CEILING(F80, 5))</f>
        <v>155</v>
      </c>
      <c r="E80" s="11">
        <f t="shared" si="80"/>
        <v>235</v>
      </c>
      <c r="F80" s="11">
        <f>IFERROR((VLOOKUP(B80, Roccia!$B$2:$D997, 3, FALSE)*(1+Datos!$E$1)), "Revisar")</f>
        <v>155.207</v>
      </c>
      <c r="G80" s="11">
        <f>IFERROR(F80*Datos!$B$3, "Revisar")</f>
        <v>232.8105</v>
      </c>
      <c r="H80" s="12">
        <f>IFERROR(G80*Datos!$B$1, "Revisar")</f>
        <v>134458.7963</v>
      </c>
      <c r="I80" s="13">
        <f>IFERROR((VLOOKUP(B80, Roccia!$B$2:$D997, 3, FALSE) /(1-Datos!$E$1)), "Revisar")</f>
        <v>170.5571429</v>
      </c>
      <c r="J80" s="13">
        <f>IFERROR(I80*Datos!$B$3, "Revisar")</f>
        <v>255.8357143</v>
      </c>
      <c r="K80" s="13">
        <f t="shared" si="3"/>
        <v>23.02521429</v>
      </c>
    </row>
    <row r="81">
      <c r="A81" s="8" t="s">
        <v>170</v>
      </c>
      <c r="B81" s="9" t="s">
        <v>175</v>
      </c>
      <c r="C81" s="10" t="s">
        <v>176</v>
      </c>
      <c r="D81" s="11">
        <f t="shared" ref="D81:E81" si="81">IF(MOD(F81, 5) &lt;= 2.5, FLOOR(F81, 5), CEILING(F81, 5))</f>
        <v>160</v>
      </c>
      <c r="E81" s="11">
        <f t="shared" si="81"/>
        <v>240</v>
      </c>
      <c r="F81" s="11">
        <f>IFERROR((VLOOKUP(B81, Roccia!$B$2:$D997, 3, FALSE)*(1+Datos!$E$1)), "Revisar")</f>
        <v>160.186</v>
      </c>
      <c r="G81" s="11">
        <f>IFERROR(F81*Datos!$B$3, "Revisar")</f>
        <v>240.279</v>
      </c>
      <c r="H81" s="12">
        <f>IFERROR(G81*Datos!$B$1, "Revisar")</f>
        <v>138772.1994</v>
      </c>
      <c r="I81" s="13">
        <f>IFERROR((VLOOKUP(B81, Roccia!$B$2:$D997, 3, FALSE) /(1-Datos!$E$1)), "Revisar")</f>
        <v>176.0285714</v>
      </c>
      <c r="J81" s="13">
        <f>IFERROR(I81*Datos!$B$3, "Revisar")</f>
        <v>264.0428571</v>
      </c>
      <c r="K81" s="13">
        <f t="shared" si="3"/>
        <v>23.76385714</v>
      </c>
    </row>
    <row r="82">
      <c r="A82" s="8" t="s">
        <v>170</v>
      </c>
      <c r="B82" s="9" t="s">
        <v>177</v>
      </c>
      <c r="C82" s="10" t="s">
        <v>178</v>
      </c>
      <c r="D82" s="11">
        <f t="shared" ref="D82:E82" si="82">IF(MOD(F82, 5) &lt;= 2.5, FLOOR(F82, 5), CEILING(F82, 5))</f>
        <v>185</v>
      </c>
      <c r="E82" s="11">
        <f t="shared" si="82"/>
        <v>275</v>
      </c>
      <c r="F82" s="11">
        <f>IFERROR((VLOOKUP(B82, Roccia!$B$2:$D997, 3, FALSE)*(1+Datos!$E$1)), "Revisar")</f>
        <v>183.365</v>
      </c>
      <c r="G82" s="11">
        <f>IFERROR(F82*Datos!$B$3, "Revisar")</f>
        <v>275.0475</v>
      </c>
      <c r="H82" s="12">
        <f>IFERROR(G82*Datos!$B$1, "Revisar")</f>
        <v>158852.6109</v>
      </c>
      <c r="I82" s="13">
        <f>IFERROR((VLOOKUP(B82, Roccia!$B$2:$D997, 3, FALSE) /(1-Datos!$E$1)), "Revisar")</f>
        <v>201.5</v>
      </c>
      <c r="J82" s="13">
        <f>IFERROR(I82*Datos!$B$3, "Revisar")</f>
        <v>302.25</v>
      </c>
      <c r="K82" s="13">
        <f t="shared" si="3"/>
        <v>27.2025</v>
      </c>
    </row>
    <row r="83">
      <c r="A83" s="8" t="s">
        <v>170</v>
      </c>
      <c r="B83" s="9" t="s">
        <v>179</v>
      </c>
      <c r="C83" s="10" t="s">
        <v>180</v>
      </c>
      <c r="D83" s="11">
        <f t="shared" ref="D83:E83" si="83">IF(MOD(F83, 5) &lt;= 2.5, FLOOR(F83, 5), CEILING(F83, 5))</f>
        <v>235</v>
      </c>
      <c r="E83" s="11">
        <f t="shared" si="83"/>
        <v>350</v>
      </c>
      <c r="F83" s="11">
        <f>IFERROR((VLOOKUP(B83, Roccia!$B$2:$D997, 3, FALSE)*(1+Datos!$E$1)), "Revisar")</f>
        <v>234.273</v>
      </c>
      <c r="G83" s="11">
        <f>IFERROR(F83*Datos!$B$3, "Revisar")</f>
        <v>351.4095</v>
      </c>
      <c r="H83" s="12">
        <f>IFERROR(G83*Datos!$B$1, "Revisar")</f>
        <v>202955.1862</v>
      </c>
      <c r="I83" s="13">
        <f>IFERROR((VLOOKUP(B83, Roccia!$B$2:$D997, 3, FALSE) /(1-Datos!$E$1)), "Revisar")</f>
        <v>257.4428571</v>
      </c>
      <c r="J83" s="13">
        <f>IFERROR(I83*Datos!$B$3, "Revisar")</f>
        <v>386.1642857</v>
      </c>
      <c r="K83" s="13">
        <f t="shared" si="3"/>
        <v>34.75478571</v>
      </c>
    </row>
    <row r="84">
      <c r="A84" s="8" t="s">
        <v>170</v>
      </c>
      <c r="B84" s="9" t="s">
        <v>181</v>
      </c>
      <c r="C84" s="10" t="s">
        <v>182</v>
      </c>
      <c r="D84" s="11">
        <f t="shared" ref="D84:E84" si="84">IF(MOD(F84, 5) &lt;= 2.5, FLOOR(F84, 5), CEILING(F84, 5))</f>
        <v>280</v>
      </c>
      <c r="E84" s="11">
        <f t="shared" si="84"/>
        <v>415</v>
      </c>
      <c r="F84" s="11">
        <f>IFERROR((VLOOKUP(B84, Roccia!$B$2:$D997, 3, FALSE)*(1+Datos!$E$1)), "Revisar")</f>
        <v>277.94</v>
      </c>
      <c r="G84" s="11">
        <f>IFERROR(F84*Datos!$B$3, "Revisar")</f>
        <v>416.91</v>
      </c>
      <c r="H84" s="12">
        <f>IFERROR(G84*Datos!$B$1, "Revisar")</f>
        <v>240784.7446</v>
      </c>
      <c r="I84" s="13">
        <f>IFERROR((VLOOKUP(B84, Roccia!$B$2:$D997, 3, FALSE) /(1-Datos!$E$1)), "Revisar")</f>
        <v>305.4285714</v>
      </c>
      <c r="J84" s="13">
        <f>IFERROR(I84*Datos!$B$3, "Revisar")</f>
        <v>458.1428571</v>
      </c>
      <c r="K84" s="13">
        <f t="shared" si="3"/>
        <v>41.23285714</v>
      </c>
    </row>
    <row r="85">
      <c r="A85" s="8" t="s">
        <v>170</v>
      </c>
      <c r="B85" s="9" t="s">
        <v>183</v>
      </c>
      <c r="C85" s="10" t="s">
        <v>184</v>
      </c>
      <c r="D85" s="11">
        <f t="shared" ref="D85:E85" si="85">IF(MOD(F85, 5) &lt;= 2.5, FLOOR(F85, 5), CEILING(F85, 5))</f>
        <v>420</v>
      </c>
      <c r="E85" s="11">
        <f t="shared" si="85"/>
        <v>625</v>
      </c>
      <c r="F85" s="11">
        <f>IFERROR((VLOOKUP(B85, Roccia!$B$2:$D997, 3, FALSE)*(1+Datos!$E$1)), "Revisar")</f>
        <v>417.638</v>
      </c>
      <c r="G85" s="11">
        <f>IFERROR(F85*Datos!$B$3, "Revisar")</f>
        <v>626.457</v>
      </c>
      <c r="H85" s="12">
        <f>IFERROR(G85*Datos!$B$1, "Revisar")</f>
        <v>361807.7972</v>
      </c>
      <c r="I85" s="13">
        <f>IFERROR((VLOOKUP(B85, Roccia!$B$2:$D997, 3, FALSE) /(1-Datos!$E$1)), "Revisar")</f>
        <v>458.9428571</v>
      </c>
      <c r="J85" s="13">
        <f>IFERROR(I85*Datos!$B$3, "Revisar")</f>
        <v>688.4142857</v>
      </c>
      <c r="K85" s="13">
        <f t="shared" si="3"/>
        <v>61.95728571</v>
      </c>
    </row>
    <row r="86">
      <c r="A86" s="8" t="s">
        <v>170</v>
      </c>
      <c r="B86" s="9" t="s">
        <v>185</v>
      </c>
      <c r="C86" s="10" t="s">
        <v>186</v>
      </c>
      <c r="D86" s="11">
        <f t="shared" ref="D86:E86" si="86">IF(MOD(F86, 5) &lt;= 2.5, FLOOR(F86, 5), CEILING(F86, 5))</f>
        <v>165</v>
      </c>
      <c r="E86" s="11">
        <f t="shared" si="86"/>
        <v>250</v>
      </c>
      <c r="F86" s="11">
        <f>IFERROR((VLOOKUP(B86, Roccia!$B$2:$D997, 3, FALSE)*(1+Datos!$E$1)), "Revisar")</f>
        <v>166.985</v>
      </c>
      <c r="G86" s="11">
        <f>IFERROR(F86*Datos!$B$3, "Revisar")</f>
        <v>250.4775</v>
      </c>
      <c r="H86" s="12">
        <f>IFERROR(G86*Datos!$B$1, "Revisar")</f>
        <v>144662.3033</v>
      </c>
      <c r="I86" s="13">
        <f>IFERROR((VLOOKUP(B86, Roccia!$B$2:$D997, 3, FALSE) /(1-Datos!$E$1)), "Revisar")</f>
        <v>183.5</v>
      </c>
      <c r="J86" s="13">
        <f>IFERROR(I86*Datos!$B$3, "Revisar")</f>
        <v>275.25</v>
      </c>
      <c r="K86" s="13">
        <f t="shared" si="3"/>
        <v>24.7725</v>
      </c>
    </row>
    <row r="87">
      <c r="A87" s="8" t="s">
        <v>170</v>
      </c>
      <c r="B87" s="9" t="s">
        <v>187</v>
      </c>
      <c r="C87" s="10" t="s">
        <v>188</v>
      </c>
      <c r="D87" s="11">
        <f t="shared" ref="D87:E87" si="87">IF(MOD(F87, 5) &lt;= 2.5, FLOOR(F87, 5), CEILING(F87, 5))</f>
        <v>165</v>
      </c>
      <c r="E87" s="11">
        <f t="shared" si="87"/>
        <v>250</v>
      </c>
      <c r="F87" s="11">
        <f>IFERROR((VLOOKUP(B87, Roccia!$B$2:$D997, 3, FALSE)*(1+Datos!$E$1)), "Revisar")</f>
        <v>165.321</v>
      </c>
      <c r="G87" s="11">
        <f>IFERROR(F87*Datos!$B$3, "Revisar")</f>
        <v>247.9815</v>
      </c>
      <c r="H87" s="12">
        <f>IFERROR(G87*Datos!$B$1, "Revisar")</f>
        <v>143220.7482</v>
      </c>
      <c r="I87" s="13">
        <f>IFERROR((VLOOKUP(B87, Roccia!$B$2:$D997, 3, FALSE) /(1-Datos!$E$1)), "Revisar")</f>
        <v>181.6714286</v>
      </c>
      <c r="J87" s="13">
        <f>IFERROR(I87*Datos!$B$3, "Revisar")</f>
        <v>272.5071429</v>
      </c>
      <c r="K87" s="13">
        <f t="shared" si="3"/>
        <v>24.52564286</v>
      </c>
    </row>
    <row r="88">
      <c r="A88" s="8" t="s">
        <v>170</v>
      </c>
      <c r="B88" s="9" t="s">
        <v>189</v>
      </c>
      <c r="C88" s="10" t="s">
        <v>190</v>
      </c>
      <c r="D88" s="11">
        <f t="shared" ref="D88:E88" si="88">IF(MOD(F88, 5) &lt;= 2.5, FLOOR(F88, 5), CEILING(F88, 5))</f>
        <v>180</v>
      </c>
      <c r="E88" s="11">
        <f t="shared" si="88"/>
        <v>270</v>
      </c>
      <c r="F88" s="11">
        <f>IFERROR((VLOOKUP(B88, Roccia!$B$2:$D997, 3, FALSE)*(1+Datos!$E$1)), "Revisar")</f>
        <v>180.648</v>
      </c>
      <c r="G88" s="11">
        <f>IFERROR(F88*Datos!$B$3, "Revisar")</f>
        <v>270.972</v>
      </c>
      <c r="H88" s="12">
        <f>IFERROR(G88*Datos!$B$1, "Revisar")</f>
        <v>156498.8218</v>
      </c>
      <c r="I88" s="13">
        <f>IFERROR((VLOOKUP(B88, Roccia!$B$2:$D997, 3, FALSE) /(1-Datos!$E$1)), "Revisar")</f>
        <v>198.5142857</v>
      </c>
      <c r="J88" s="13">
        <f>IFERROR(I88*Datos!$B$3, "Revisar")</f>
        <v>297.7714286</v>
      </c>
      <c r="K88" s="13">
        <f t="shared" si="3"/>
        <v>26.79942857</v>
      </c>
    </row>
    <row r="89">
      <c r="A89" s="8" t="s">
        <v>191</v>
      </c>
      <c r="B89" s="9" t="s">
        <v>192</v>
      </c>
      <c r="C89" s="10" t="s">
        <v>193</v>
      </c>
      <c r="D89" s="11">
        <f t="shared" ref="D89:E89" si="89">IF(MOD(F89, 5) &lt;= 2.5, FLOOR(F89, 5), CEILING(F89, 5))</f>
        <v>10</v>
      </c>
      <c r="E89" s="11">
        <f t="shared" si="89"/>
        <v>15</v>
      </c>
      <c r="F89" s="11">
        <f>IFERROR((VLOOKUP(B89, Roccia!$B$2:$D997, 3, FALSE)*(1+Datos!$E$1)), "Revisar")</f>
        <v>10.4</v>
      </c>
      <c r="G89" s="11">
        <f>IFERROR(F89*Datos!$B$3, "Revisar")</f>
        <v>15.6</v>
      </c>
      <c r="H89" s="12">
        <f>IFERROR(G89*Datos!$B$1, "Revisar")</f>
        <v>9009.71916</v>
      </c>
      <c r="I89" s="13">
        <f>IFERROR((VLOOKUP(B89, Roccia!$B$2:$D997, 3, FALSE) /(1-Datos!$E$1)), "Revisar")</f>
        <v>11.42857143</v>
      </c>
      <c r="J89" s="13">
        <f>IFERROR(I89*Datos!$B$3, "Revisar")</f>
        <v>17.14285714</v>
      </c>
      <c r="K89" s="13">
        <f t="shared" si="3"/>
        <v>1.542857143</v>
      </c>
    </row>
    <row r="90">
      <c r="A90" s="8" t="s">
        <v>191</v>
      </c>
      <c r="B90" s="9" t="s">
        <v>194</v>
      </c>
      <c r="C90" s="10" t="s">
        <v>195</v>
      </c>
      <c r="D90" s="11">
        <f t="shared" ref="D90:E90" si="90">IF(MOD(F90, 5) &lt;= 2.5, FLOOR(F90, 5), CEILING(F90, 5))</f>
        <v>20</v>
      </c>
      <c r="E90" s="11">
        <f t="shared" si="90"/>
        <v>30</v>
      </c>
      <c r="F90" s="11">
        <f>IFERROR((VLOOKUP(B90, Roccia!$B$2:$D997, 3, FALSE)*(1+Datos!$E$1)), "Revisar")</f>
        <v>18.85</v>
      </c>
      <c r="G90" s="11">
        <f>IFERROR(F90*Datos!$B$3, "Revisar")</f>
        <v>28.275</v>
      </c>
      <c r="H90" s="12">
        <f>IFERROR(G90*Datos!$B$1, "Revisar")</f>
        <v>16330.11598</v>
      </c>
      <c r="I90" s="13">
        <f>IFERROR((VLOOKUP(B90, Roccia!$B$2:$D997, 3, FALSE) /(1-Datos!$E$1)), "Revisar")</f>
        <v>20.71428571</v>
      </c>
      <c r="J90" s="13">
        <f>IFERROR(I90*Datos!$B$3, "Revisar")</f>
        <v>31.07142857</v>
      </c>
      <c r="K90" s="13">
        <f t="shared" si="3"/>
        <v>2.796428571</v>
      </c>
    </row>
    <row r="91">
      <c r="A91" s="8" t="s">
        <v>191</v>
      </c>
      <c r="B91" s="9" t="s">
        <v>196</v>
      </c>
      <c r="C91" s="10" t="s">
        <v>197</v>
      </c>
      <c r="D91" s="11">
        <f t="shared" ref="D91:E91" si="91">IF(MOD(F91, 5) &lt;= 2.5, FLOOR(F91, 5), CEILING(F91, 5))</f>
        <v>40</v>
      </c>
      <c r="E91" s="11">
        <f t="shared" si="91"/>
        <v>60</v>
      </c>
      <c r="F91" s="11">
        <f>IFERROR((VLOOKUP(B91, Roccia!$B$2:$D997, 3, FALSE)*(1+Datos!$E$1)), "Revisar")</f>
        <v>41.561</v>
      </c>
      <c r="G91" s="11">
        <f>IFERROR(F91*Datos!$B$3, "Revisar")</f>
        <v>62.3415</v>
      </c>
      <c r="H91" s="12">
        <f>IFERROR(G91*Datos!$B$1, "Revisar")</f>
        <v>36005.09019</v>
      </c>
      <c r="I91" s="13">
        <f>IFERROR((VLOOKUP(B91, Roccia!$B$2:$D997, 3, FALSE) /(1-Datos!$E$1)), "Revisar")</f>
        <v>45.67142857</v>
      </c>
      <c r="J91" s="13">
        <f>IFERROR(I91*Datos!$B$3, "Revisar")</f>
        <v>68.50714286</v>
      </c>
      <c r="K91" s="13">
        <f t="shared" si="3"/>
        <v>6.165642857</v>
      </c>
    </row>
    <row r="92">
      <c r="A92" s="8" t="s">
        <v>191</v>
      </c>
      <c r="B92" s="9" t="s">
        <v>198</v>
      </c>
      <c r="C92" s="10" t="s">
        <v>199</v>
      </c>
      <c r="D92" s="11">
        <f t="shared" ref="D92:E92" si="92">IF(MOD(F92, 5) &lt;= 2.5, FLOOR(F92, 5), CEILING(F92, 5))</f>
        <v>85</v>
      </c>
      <c r="E92" s="11">
        <f t="shared" si="92"/>
        <v>125</v>
      </c>
      <c r="F92" s="11">
        <f>IFERROR((VLOOKUP(B92, Roccia!$B$2:$D997, 3, FALSE)*(1+Datos!$E$1)), "Revisar")</f>
        <v>84.721</v>
      </c>
      <c r="G92" s="11">
        <f>IFERROR(F92*Datos!$B$3, "Revisar")</f>
        <v>127.0815</v>
      </c>
      <c r="H92" s="12">
        <f>IFERROR(G92*Datos!$B$1, "Revisar")</f>
        <v>73395.42471</v>
      </c>
      <c r="I92" s="13">
        <f>IFERROR((VLOOKUP(B92, Roccia!$B$2:$D997, 3, FALSE) /(1-Datos!$E$1)), "Revisar")</f>
        <v>93.1</v>
      </c>
      <c r="J92" s="13">
        <f>IFERROR(I92*Datos!$B$3, "Revisar")</f>
        <v>139.65</v>
      </c>
      <c r="K92" s="13">
        <f t="shared" si="3"/>
        <v>12.5685</v>
      </c>
    </row>
    <row r="93">
      <c r="A93" s="8" t="s">
        <v>191</v>
      </c>
      <c r="B93" s="9" t="s">
        <v>200</v>
      </c>
      <c r="C93" s="10" t="s">
        <v>201</v>
      </c>
      <c r="D93" s="11">
        <f t="shared" ref="D93:E93" si="93">IF(MOD(F93, 5) &lt;= 2.5, FLOOR(F93, 5), CEILING(F93, 5))</f>
        <v>155</v>
      </c>
      <c r="E93" s="11">
        <f t="shared" si="93"/>
        <v>235</v>
      </c>
      <c r="F93" s="11">
        <f>IFERROR((VLOOKUP(B93, Roccia!$B$2:$D997, 3, FALSE)*(1+Datos!$E$1)), "Revisar")</f>
        <v>155.142</v>
      </c>
      <c r="G93" s="11">
        <f>IFERROR(F93*Datos!$B$3, "Revisar")</f>
        <v>232.713</v>
      </c>
      <c r="H93" s="12">
        <f>IFERROR(G93*Datos!$B$1, "Revisar")</f>
        <v>134402.4856</v>
      </c>
      <c r="I93" s="13">
        <f>IFERROR((VLOOKUP(B93, Roccia!$B$2:$D997, 3, FALSE) /(1-Datos!$E$1)), "Revisar")</f>
        <v>170.4857143</v>
      </c>
      <c r="J93" s="13">
        <f>IFERROR(I93*Datos!$B$3, "Revisar")</f>
        <v>255.7285714</v>
      </c>
      <c r="K93" s="13">
        <f t="shared" si="3"/>
        <v>23.01557143</v>
      </c>
    </row>
    <row r="94">
      <c r="A94" s="8" t="s">
        <v>191</v>
      </c>
      <c r="B94" s="9" t="s">
        <v>202</v>
      </c>
      <c r="C94" s="10" t="s">
        <v>203</v>
      </c>
      <c r="D94" s="11">
        <f t="shared" ref="D94:E94" si="94">IF(MOD(F94, 5) &lt;= 2.5, FLOOR(F94, 5), CEILING(F94, 5))</f>
        <v>140</v>
      </c>
      <c r="E94" s="11">
        <f t="shared" si="94"/>
        <v>210</v>
      </c>
      <c r="F94" s="11">
        <f>IFERROR((VLOOKUP(B94, Roccia!$B$2:$D997, 3, FALSE)*(1+Datos!$E$1)), "Revisar")</f>
        <v>140.764</v>
      </c>
      <c r="G94" s="11">
        <f>IFERROR(F94*Datos!$B$3, "Revisar")</f>
        <v>211.146</v>
      </c>
      <c r="H94" s="12">
        <f>IFERROR(G94*Datos!$B$1, "Revisar")</f>
        <v>121946.5488</v>
      </c>
      <c r="I94" s="13">
        <f>IFERROR((VLOOKUP(B94, Roccia!$B$2:$D997, 3, FALSE) /(1-Datos!$E$1)), "Revisar")</f>
        <v>154.6857143</v>
      </c>
      <c r="J94" s="13">
        <f>IFERROR(I94*Datos!$B$3, "Revisar")</f>
        <v>232.0285714</v>
      </c>
      <c r="K94" s="13">
        <f t="shared" si="3"/>
        <v>20.88257143</v>
      </c>
    </row>
    <row r="95">
      <c r="A95" s="8" t="s">
        <v>191</v>
      </c>
      <c r="B95" s="9" t="s">
        <v>204</v>
      </c>
      <c r="C95" s="10" t="s">
        <v>205</v>
      </c>
      <c r="D95" s="11">
        <f t="shared" ref="D95:E95" si="95">IF(MOD(F95, 5) &lt;= 2.5, FLOOR(F95, 5), CEILING(F95, 5))</f>
        <v>165</v>
      </c>
      <c r="E95" s="11">
        <f t="shared" si="95"/>
        <v>245</v>
      </c>
      <c r="F95" s="11">
        <f>IFERROR((VLOOKUP(B95, Roccia!$B$2:$D997, 3, FALSE)*(1+Datos!$E$1)), "Revisar")</f>
        <v>164.385</v>
      </c>
      <c r="G95" s="11">
        <f>IFERROR(F95*Datos!$B$3, "Revisar")</f>
        <v>246.5775</v>
      </c>
      <c r="H95" s="12">
        <f>IFERROR(G95*Datos!$B$1, "Revisar")</f>
        <v>142409.8735</v>
      </c>
      <c r="I95" s="13">
        <f>IFERROR((VLOOKUP(B95, Roccia!$B$2:$D997, 3, FALSE) /(1-Datos!$E$1)), "Revisar")</f>
        <v>180.6428571</v>
      </c>
      <c r="J95" s="13">
        <f>IFERROR(I95*Datos!$B$3, "Revisar")</f>
        <v>270.9642857</v>
      </c>
      <c r="K95" s="13">
        <f t="shared" si="3"/>
        <v>24.38678571</v>
      </c>
    </row>
    <row r="96">
      <c r="A96" s="8" t="s">
        <v>191</v>
      </c>
      <c r="B96" s="9" t="s">
        <v>206</v>
      </c>
      <c r="C96" s="10" t="s">
        <v>207</v>
      </c>
      <c r="D96" s="11">
        <f t="shared" ref="D96:E96" si="96">IF(MOD(F96, 5) &lt;= 2.5, FLOOR(F96, 5), CEILING(F96, 5))</f>
        <v>145</v>
      </c>
      <c r="E96" s="11">
        <f t="shared" si="96"/>
        <v>220</v>
      </c>
      <c r="F96" s="11">
        <f>IFERROR((VLOOKUP(B96, Roccia!$B$2:$D997, 3, FALSE)*(1+Datos!$E$1)), "Revisar")</f>
        <v>145.795</v>
      </c>
      <c r="G96" s="11">
        <f>IFERROR(F96*Datos!$B$3, "Revisar")</f>
        <v>218.6925</v>
      </c>
      <c r="H96" s="12">
        <f>IFERROR(G96*Datos!$B$1, "Revisar")</f>
        <v>126305.0005</v>
      </c>
      <c r="I96" s="13">
        <f>IFERROR((VLOOKUP(B96, Roccia!$B$2:$D997, 3, FALSE) /(1-Datos!$E$1)), "Revisar")</f>
        <v>160.2142857</v>
      </c>
      <c r="J96" s="13">
        <f>IFERROR(I96*Datos!$B$3, "Revisar")</f>
        <v>240.3214286</v>
      </c>
      <c r="K96" s="13">
        <f t="shared" si="3"/>
        <v>21.62892857</v>
      </c>
    </row>
    <row r="97">
      <c r="A97" s="8" t="s">
        <v>191</v>
      </c>
      <c r="B97" s="9" t="s">
        <v>208</v>
      </c>
      <c r="C97" s="10" t="s">
        <v>209</v>
      </c>
      <c r="D97" s="11">
        <f t="shared" ref="D97:E97" si="97">IF(MOD(F97, 5) &lt;= 2.5, FLOOR(F97, 5), CEILING(F97, 5))</f>
        <v>95</v>
      </c>
      <c r="E97" s="11">
        <f t="shared" si="97"/>
        <v>145</v>
      </c>
      <c r="F97" s="11">
        <f>IFERROR((VLOOKUP(B97, Roccia!$B$2:$D997, 3, FALSE)*(1+Datos!$E$1)), "Revisar")</f>
        <v>96.304</v>
      </c>
      <c r="G97" s="11">
        <f>IFERROR(F97*Datos!$B$3, "Revisar")</f>
        <v>144.456</v>
      </c>
      <c r="H97" s="12">
        <f>IFERROR(G97*Datos!$B$1, "Revisar")</f>
        <v>83429.99942</v>
      </c>
      <c r="I97" s="13">
        <f>IFERROR((VLOOKUP(B97, Roccia!$B$2:$D997, 3, FALSE) /(1-Datos!$E$1)), "Revisar")</f>
        <v>105.8285714</v>
      </c>
      <c r="J97" s="13">
        <f>IFERROR(I97*Datos!$B$3, "Revisar")</f>
        <v>158.7428571</v>
      </c>
      <c r="K97" s="13">
        <f t="shared" si="3"/>
        <v>14.28685714</v>
      </c>
    </row>
    <row r="98">
      <c r="A98" s="8" t="s">
        <v>191</v>
      </c>
      <c r="B98" s="9" t="s">
        <v>210</v>
      </c>
      <c r="C98" s="10" t="s">
        <v>211</v>
      </c>
      <c r="D98" s="11">
        <f t="shared" ref="D98:E98" si="98">IF(MOD(F98, 5) &lt;= 2.5, FLOOR(F98, 5), CEILING(F98, 5))</f>
        <v>100</v>
      </c>
      <c r="E98" s="11">
        <f t="shared" si="98"/>
        <v>150</v>
      </c>
      <c r="F98" s="11">
        <f>IFERROR((VLOOKUP(B98, Roccia!$B$2:$D997, 3, FALSE)*(1+Datos!$E$1)), "Revisar")</f>
        <v>100.62</v>
      </c>
      <c r="G98" s="11">
        <f>IFERROR(F98*Datos!$B$3, "Revisar")</f>
        <v>150.93</v>
      </c>
      <c r="H98" s="12">
        <f>IFERROR(G98*Datos!$B$1, "Revisar")</f>
        <v>87169.03287</v>
      </c>
      <c r="I98" s="13">
        <f>IFERROR((VLOOKUP(B98, Roccia!$B$2:$D997, 3, FALSE) /(1-Datos!$E$1)), "Revisar")</f>
        <v>110.5714286</v>
      </c>
      <c r="J98" s="13">
        <f>IFERROR(I98*Datos!$B$3, "Revisar")</f>
        <v>165.8571429</v>
      </c>
      <c r="K98" s="13">
        <f t="shared" si="3"/>
        <v>14.92714286</v>
      </c>
    </row>
    <row r="99">
      <c r="A99" s="8" t="s">
        <v>191</v>
      </c>
      <c r="B99" s="9" t="s">
        <v>212</v>
      </c>
      <c r="C99" s="10" t="s">
        <v>213</v>
      </c>
      <c r="D99" s="11">
        <f t="shared" ref="D99:E99" si="99">IF(MOD(F99, 5) &lt;= 2.5, FLOOR(F99, 5), CEILING(F99, 5))</f>
        <v>55</v>
      </c>
      <c r="E99" s="11">
        <f t="shared" si="99"/>
        <v>85</v>
      </c>
      <c r="F99" s="11">
        <f>IFERROR((VLOOKUP(B99, Roccia!$B$2:$D997, 3, FALSE)*(1+Datos!$E$1)), "Revisar")</f>
        <v>55.601</v>
      </c>
      <c r="G99" s="11">
        <f>IFERROR(F99*Datos!$B$3, "Revisar")</f>
        <v>83.4015</v>
      </c>
      <c r="H99" s="12">
        <f>IFERROR(G99*Datos!$B$1, "Revisar")</f>
        <v>48168.21106</v>
      </c>
      <c r="I99" s="13">
        <f>IFERROR((VLOOKUP(B99, Roccia!$B$2:$D997, 3, FALSE) /(1-Datos!$E$1)), "Revisar")</f>
        <v>61.1</v>
      </c>
      <c r="J99" s="13">
        <f>IFERROR(I99*Datos!$B$3, "Revisar")</f>
        <v>91.65</v>
      </c>
      <c r="K99" s="13">
        <f t="shared" si="3"/>
        <v>8.2485</v>
      </c>
    </row>
    <row r="100">
      <c r="A100" s="8" t="s">
        <v>214</v>
      </c>
      <c r="B100" s="9" t="s">
        <v>215</v>
      </c>
      <c r="C100" s="10" t="s">
        <v>216</v>
      </c>
      <c r="D100" s="11">
        <f t="shared" ref="D100:E100" si="100">IF(MOD(F100, 5) &lt;= 2.5, FLOOR(F100, 5), CEILING(F100, 5))</f>
        <v>475</v>
      </c>
      <c r="E100" s="11">
        <f t="shared" si="100"/>
        <v>715</v>
      </c>
      <c r="F100" s="11">
        <f>IFERROR((VLOOKUP(B100, Roccia!$B$2:$D997, 3, FALSE)*(1+Datos!$E$1)), "Revisar")</f>
        <v>476.775</v>
      </c>
      <c r="G100" s="11">
        <f>IFERROR(F100*Datos!$B$3, "Revisar")</f>
        <v>715.1625</v>
      </c>
      <c r="H100" s="12">
        <f>IFERROR(G100*Datos!$B$1, "Revisar")</f>
        <v>413039.3127</v>
      </c>
      <c r="I100" s="13">
        <f>IFERROR((VLOOKUP(B100, Roccia!$B$2:$D997, 3, FALSE) /(1-Datos!$E$1)), "Revisar")</f>
        <v>523.9285714</v>
      </c>
      <c r="J100" s="13">
        <f>IFERROR(I100*Datos!$B$3, "Revisar")</f>
        <v>785.8928571</v>
      </c>
      <c r="K100" s="13">
        <f t="shared" si="3"/>
        <v>70.73035714</v>
      </c>
    </row>
    <row r="101">
      <c r="A101" s="8" t="s">
        <v>214</v>
      </c>
      <c r="B101" s="9" t="s">
        <v>217</v>
      </c>
      <c r="C101" s="10" t="s">
        <v>218</v>
      </c>
      <c r="D101" s="11">
        <f t="shared" ref="D101:E101" si="101">IF(MOD(F101, 5) &lt;= 2.5, FLOOR(F101, 5), CEILING(F101, 5))</f>
        <v>285</v>
      </c>
      <c r="E101" s="11">
        <f t="shared" si="101"/>
        <v>425</v>
      </c>
      <c r="F101" s="11">
        <f>IFERROR((VLOOKUP(B101, Roccia!$B$2:$D997, 3, FALSE)*(1+Datos!$E$1)), "Revisar")</f>
        <v>284.726</v>
      </c>
      <c r="G101" s="11">
        <f>IFERROR(F101*Datos!$B$3, "Revisar")</f>
        <v>427.089</v>
      </c>
      <c r="H101" s="12">
        <f>IFERROR(G101*Datos!$B$1, "Revisar")</f>
        <v>246663.5863</v>
      </c>
      <c r="I101" s="13">
        <f>IFERROR((VLOOKUP(B101, Roccia!$B$2:$D997, 3, FALSE) /(1-Datos!$E$1)), "Revisar")</f>
        <v>312.8857143</v>
      </c>
      <c r="J101" s="13">
        <f>IFERROR(I101*Datos!$B$3, "Revisar")</f>
        <v>469.3285714</v>
      </c>
      <c r="K101" s="13">
        <f t="shared" si="3"/>
        <v>42.23957143</v>
      </c>
    </row>
    <row r="102">
      <c r="A102" s="8" t="s">
        <v>214</v>
      </c>
      <c r="B102" s="9" t="s">
        <v>219</v>
      </c>
      <c r="C102" s="10" t="s">
        <v>220</v>
      </c>
      <c r="D102" s="11">
        <f t="shared" ref="D102:E102" si="102">IF(MOD(F102, 5) &lt;= 2.5, FLOOR(F102, 5), CEILING(F102, 5))</f>
        <v>395</v>
      </c>
      <c r="E102" s="11">
        <f t="shared" si="102"/>
        <v>590</v>
      </c>
      <c r="F102" s="11">
        <f>IFERROR((VLOOKUP(B102, Roccia!$B$2:$D997, 3, FALSE)*(1+Datos!$E$1)), "Revisar")</f>
        <v>393.055</v>
      </c>
      <c r="G102" s="11">
        <f>IFERROR(F102*Datos!$B$3, "Revisar")</f>
        <v>589.5825</v>
      </c>
      <c r="H102" s="12">
        <f>IFERROR(G102*Datos!$B$1, "Revisar")</f>
        <v>340511.0735</v>
      </c>
      <c r="I102" s="13">
        <f>IFERROR((VLOOKUP(B102, Roccia!$B$2:$D997, 3, FALSE) /(1-Datos!$E$1)), "Revisar")</f>
        <v>431.9285714</v>
      </c>
      <c r="J102" s="13">
        <f>IFERROR(I102*Datos!$B$3, "Revisar")</f>
        <v>647.8928571</v>
      </c>
      <c r="K102" s="13">
        <f t="shared" si="3"/>
        <v>58.31035714</v>
      </c>
    </row>
    <row r="103">
      <c r="A103" s="8" t="s">
        <v>221</v>
      </c>
      <c r="B103" s="9" t="s">
        <v>222</v>
      </c>
      <c r="C103" s="10" t="s">
        <v>223</v>
      </c>
      <c r="D103" s="11">
        <f t="shared" ref="D103:E103" si="103">IF(MOD(F103, 5) &lt;= 2.5, FLOOR(F103, 5), CEILING(F103, 5))</f>
        <v>20</v>
      </c>
      <c r="E103" s="11">
        <f t="shared" si="103"/>
        <v>25</v>
      </c>
      <c r="F103" s="11">
        <f>IFERROR((VLOOKUP(B103, Roccia!$B$2:$D997, 3, FALSE)*(1+Datos!$E$1)), "Revisar")</f>
        <v>17.823</v>
      </c>
      <c r="G103" s="11">
        <f>IFERROR(F103*Datos!$B$3, "Revisar")</f>
        <v>26.7345</v>
      </c>
      <c r="H103" s="12">
        <f>IFERROR(G103*Datos!$B$1, "Revisar")</f>
        <v>15440.40621</v>
      </c>
      <c r="I103" s="13">
        <f>IFERROR((VLOOKUP(B103, Roccia!$B$2:$D997, 3, FALSE) /(1-Datos!$E$1)), "Revisar")</f>
        <v>19.58571429</v>
      </c>
      <c r="J103" s="13">
        <f>IFERROR(I103*Datos!$B$3, "Revisar")</f>
        <v>29.37857143</v>
      </c>
      <c r="K103" s="13">
        <f t="shared" si="3"/>
        <v>2.644071429</v>
      </c>
    </row>
    <row r="104">
      <c r="A104" s="8" t="s">
        <v>221</v>
      </c>
      <c r="B104" s="9" t="s">
        <v>224</v>
      </c>
      <c r="C104" s="10" t="s">
        <v>225</v>
      </c>
      <c r="D104" s="11">
        <f t="shared" ref="D104:E104" si="104">IF(MOD(F104, 5) &lt;= 2.5, FLOOR(F104, 5), CEILING(F104, 5))</f>
        <v>25</v>
      </c>
      <c r="E104" s="11">
        <f t="shared" si="104"/>
        <v>40</v>
      </c>
      <c r="F104" s="11">
        <f>IFERROR((VLOOKUP(B104, Roccia!$B$2:$D997, 3, FALSE)*(1+Datos!$E$1)), "Revisar")</f>
        <v>25.636</v>
      </c>
      <c r="G104" s="11">
        <f>IFERROR(F104*Datos!$B$3, "Revisar")</f>
        <v>38.454</v>
      </c>
      <c r="H104" s="12">
        <f>IFERROR(G104*Datos!$B$1, "Revisar")</f>
        <v>22208.95773</v>
      </c>
      <c r="I104" s="13">
        <f>IFERROR((VLOOKUP(B104, Roccia!$B$2:$D997, 3, FALSE) /(1-Datos!$E$1)), "Revisar")</f>
        <v>28.17142857</v>
      </c>
      <c r="J104" s="13">
        <f>IFERROR(I104*Datos!$B$3, "Revisar")</f>
        <v>42.25714286</v>
      </c>
      <c r="K104" s="13">
        <f t="shared" si="3"/>
        <v>3.803142857</v>
      </c>
    </row>
    <row r="105">
      <c r="A105" s="8" t="s">
        <v>221</v>
      </c>
      <c r="B105" s="9" t="s">
        <v>226</v>
      </c>
      <c r="C105" s="10" t="s">
        <v>227</v>
      </c>
      <c r="D105" s="11">
        <f t="shared" ref="D105:E105" si="105">IF(MOD(F105, 5) &lt;= 2.5, FLOOR(F105, 5), CEILING(F105, 5))</f>
        <v>30</v>
      </c>
      <c r="E105" s="11">
        <f t="shared" si="105"/>
        <v>45</v>
      </c>
      <c r="F105" s="11">
        <f>IFERROR((VLOOKUP(B105, Roccia!$B$2:$D997, 3, FALSE)*(1+Datos!$E$1)), "Revisar")</f>
        <v>29.9</v>
      </c>
      <c r="G105" s="11">
        <f>IFERROR(F105*Datos!$B$3, "Revisar")</f>
        <v>44.85</v>
      </c>
      <c r="H105" s="12">
        <f>IFERROR(G105*Datos!$B$1, "Revisar")</f>
        <v>25902.94259</v>
      </c>
      <c r="I105" s="13">
        <f>IFERROR((VLOOKUP(B105, Roccia!$B$2:$D997, 3, FALSE) /(1-Datos!$E$1)), "Revisar")</f>
        <v>32.85714286</v>
      </c>
      <c r="J105" s="13">
        <f>IFERROR(I105*Datos!$B$3, "Revisar")</f>
        <v>49.28571429</v>
      </c>
      <c r="K105" s="13">
        <f t="shared" si="3"/>
        <v>4.435714286</v>
      </c>
    </row>
    <row r="106">
      <c r="A106" s="8" t="s">
        <v>221</v>
      </c>
      <c r="B106" s="9" t="s">
        <v>228</v>
      </c>
      <c r="C106" s="10" t="s">
        <v>229</v>
      </c>
      <c r="D106" s="11">
        <f t="shared" ref="D106:E106" si="106">IF(MOD(F106, 5) &lt;= 2.5, FLOOR(F106, 5), CEILING(F106, 5))</f>
        <v>15</v>
      </c>
      <c r="E106" s="11">
        <f t="shared" si="106"/>
        <v>25</v>
      </c>
      <c r="F106" s="11">
        <f>IFERROR((VLOOKUP(B106, Roccia!$B$2:$D997, 3, FALSE)*(1+Datos!$E$1)), "Revisar")</f>
        <v>16.9</v>
      </c>
      <c r="G106" s="11">
        <f>IFERROR(F106*Datos!$B$3, "Revisar")</f>
        <v>25.35</v>
      </c>
      <c r="H106" s="12">
        <f>IFERROR(G106*Datos!$B$1, "Revisar")</f>
        <v>14640.79364</v>
      </c>
      <c r="I106" s="13">
        <f>IFERROR((VLOOKUP(B106, Roccia!$B$2:$D997, 3, FALSE) /(1-Datos!$E$1)), "Revisar")</f>
        <v>18.57142857</v>
      </c>
      <c r="J106" s="13">
        <f>IFERROR(I106*Datos!$B$3, "Revisar")</f>
        <v>27.85714286</v>
      </c>
      <c r="K106" s="13">
        <f t="shared" si="3"/>
        <v>2.507142857</v>
      </c>
    </row>
    <row r="107">
      <c r="A107" s="8" t="s">
        <v>221</v>
      </c>
      <c r="B107" s="9" t="s">
        <v>230</v>
      </c>
      <c r="C107" s="10" t="s">
        <v>231</v>
      </c>
      <c r="D107" s="11">
        <f t="shared" ref="D107:E107" si="107">IF(MOD(F107, 5) &lt;= 2.5, FLOOR(F107, 5), CEILING(F107, 5))</f>
        <v>30</v>
      </c>
      <c r="E107" s="11">
        <f t="shared" si="107"/>
        <v>40</v>
      </c>
      <c r="F107" s="11">
        <f>IFERROR((VLOOKUP(B107, Roccia!$B$2:$D997, 3, FALSE)*(1+Datos!$E$1)), "Revisar")</f>
        <v>28.106</v>
      </c>
      <c r="G107" s="11">
        <f>IFERROR(F107*Datos!$B$3, "Revisar")</f>
        <v>42.159</v>
      </c>
      <c r="H107" s="12">
        <f>IFERROR(G107*Datos!$B$1, "Revisar")</f>
        <v>24348.76603</v>
      </c>
      <c r="I107" s="13">
        <f>IFERROR((VLOOKUP(B107, Roccia!$B$2:$D997, 3, FALSE) /(1-Datos!$E$1)), "Revisar")</f>
        <v>30.88571429</v>
      </c>
      <c r="J107" s="13">
        <f>IFERROR(I107*Datos!$B$3, "Revisar")</f>
        <v>46.32857143</v>
      </c>
      <c r="K107" s="13">
        <f t="shared" si="3"/>
        <v>4.169571429</v>
      </c>
    </row>
    <row r="108">
      <c r="A108" s="8" t="s">
        <v>221</v>
      </c>
      <c r="B108" s="9" t="s">
        <v>232</v>
      </c>
      <c r="C108" s="10" t="s">
        <v>233</v>
      </c>
      <c r="D108" s="11">
        <f t="shared" ref="D108:E108" si="108">IF(MOD(F108, 5) &lt;= 2.5, FLOOR(F108, 5), CEILING(F108, 5))</f>
        <v>65</v>
      </c>
      <c r="E108" s="11">
        <f t="shared" si="108"/>
        <v>100</v>
      </c>
      <c r="F108" s="11">
        <f>IFERROR((VLOOKUP(B108, Roccia!$B$2:$D997, 3, FALSE)*(1+Datos!$E$1)), "Revisar")</f>
        <v>65.949</v>
      </c>
      <c r="G108" s="11">
        <f>IFERROR(F108*Datos!$B$3, "Revisar")</f>
        <v>98.9235</v>
      </c>
      <c r="H108" s="12">
        <f>IFERROR(G108*Datos!$B$1, "Revisar")</f>
        <v>57132.88162</v>
      </c>
      <c r="I108" s="13">
        <f>IFERROR((VLOOKUP(B108, Roccia!$B$2:$D997, 3, FALSE) /(1-Datos!$E$1)), "Revisar")</f>
        <v>72.47142857</v>
      </c>
      <c r="J108" s="13">
        <f>IFERROR(I108*Datos!$B$3, "Revisar")</f>
        <v>108.7071429</v>
      </c>
      <c r="K108" s="13">
        <f t="shared" si="3"/>
        <v>9.783642857</v>
      </c>
    </row>
    <row r="109">
      <c r="A109" s="8" t="s">
        <v>221</v>
      </c>
      <c r="B109" s="9" t="s">
        <v>234</v>
      </c>
      <c r="C109" s="10" t="s">
        <v>235</v>
      </c>
      <c r="D109" s="11">
        <f t="shared" ref="D109:E109" si="109">IF(MOD(F109, 5) &lt;= 2.5, FLOOR(F109, 5), CEILING(F109, 5))</f>
        <v>45</v>
      </c>
      <c r="E109" s="11">
        <f t="shared" si="109"/>
        <v>70</v>
      </c>
      <c r="F109" s="11">
        <f>IFERROR((VLOOKUP(B109, Roccia!$B$2:$D997, 3, FALSE)*(1+Datos!$E$1)), "Revisar")</f>
        <v>46.8</v>
      </c>
      <c r="G109" s="11">
        <f>IFERROR(F109*Datos!$B$3, "Revisar")</f>
        <v>70.2</v>
      </c>
      <c r="H109" s="12">
        <f>IFERROR(G109*Datos!$B$1, "Revisar")</f>
        <v>40543.73622</v>
      </c>
      <c r="I109" s="13">
        <f>IFERROR((VLOOKUP(B109, Roccia!$B$2:$D997, 3, FALSE) /(1-Datos!$E$1)), "Revisar")</f>
        <v>51.42857143</v>
      </c>
      <c r="J109" s="13">
        <f>IFERROR(I109*Datos!$B$3, "Revisar")</f>
        <v>77.14285714</v>
      </c>
      <c r="K109" s="13">
        <f t="shared" si="3"/>
        <v>6.942857143</v>
      </c>
    </row>
    <row r="110">
      <c r="A110" s="8" t="s">
        <v>221</v>
      </c>
      <c r="B110" s="9" t="s">
        <v>236</v>
      </c>
      <c r="C110" s="10" t="s">
        <v>237</v>
      </c>
      <c r="D110" s="11">
        <f t="shared" ref="D110:E110" si="110">IF(MOD(F110, 5) &lt;= 2.5, FLOOR(F110, 5), CEILING(F110, 5))</f>
        <v>50</v>
      </c>
      <c r="E110" s="11">
        <f t="shared" si="110"/>
        <v>80</v>
      </c>
      <c r="F110" s="11">
        <f>IFERROR((VLOOKUP(B110, Roccia!$B$2:$D997, 3, FALSE)*(1+Datos!$E$1)), "Revisar")</f>
        <v>52</v>
      </c>
      <c r="G110" s="11">
        <f>IFERROR(F110*Datos!$B$3, "Revisar")</f>
        <v>78</v>
      </c>
      <c r="H110" s="12">
        <f>IFERROR(G110*Datos!$B$1, "Revisar")</f>
        <v>45048.5958</v>
      </c>
      <c r="I110" s="13">
        <f>IFERROR((VLOOKUP(B110, Roccia!$B$2:$D997, 3, FALSE) /(1-Datos!$E$1)), "Revisar")</f>
        <v>57.14285714</v>
      </c>
      <c r="J110" s="13">
        <f>IFERROR(I110*Datos!$B$3, "Revisar")</f>
        <v>85.71428571</v>
      </c>
      <c r="K110" s="13">
        <f t="shared" si="3"/>
        <v>7.714285714</v>
      </c>
    </row>
    <row r="111">
      <c r="A111" s="8" t="s">
        <v>221</v>
      </c>
      <c r="B111" s="9" t="s">
        <v>238</v>
      </c>
      <c r="C111" s="10" t="s">
        <v>239</v>
      </c>
      <c r="D111" s="11">
        <f t="shared" ref="D111:E111" si="111">IF(MOD(F111, 5) &lt;= 2.5, FLOOR(F111, 5), CEILING(F111, 5))</f>
        <v>45</v>
      </c>
      <c r="E111" s="11">
        <f t="shared" si="111"/>
        <v>70</v>
      </c>
      <c r="F111" s="11">
        <f>IFERROR((VLOOKUP(B111, Roccia!$B$2:$D997, 3, FALSE)*(1+Datos!$E$1)), "Revisar")</f>
        <v>45.5</v>
      </c>
      <c r="G111" s="11">
        <f>IFERROR(F111*Datos!$B$3, "Revisar")</f>
        <v>68.25</v>
      </c>
      <c r="H111" s="12">
        <f>IFERROR(G111*Datos!$B$1, "Revisar")</f>
        <v>39417.52133</v>
      </c>
      <c r="I111" s="13">
        <f>IFERROR((VLOOKUP(B111, Roccia!$B$2:$D997, 3, FALSE) /(1-Datos!$E$1)), "Revisar")</f>
        <v>50</v>
      </c>
      <c r="J111" s="13">
        <f>IFERROR(I111*Datos!$B$3, "Revisar")</f>
        <v>75</v>
      </c>
      <c r="K111" s="13">
        <f t="shared" si="3"/>
        <v>6.75</v>
      </c>
    </row>
    <row r="112">
      <c r="A112" s="8" t="s">
        <v>221</v>
      </c>
      <c r="B112" s="9" t="s">
        <v>240</v>
      </c>
      <c r="C112" s="10" t="s">
        <v>241</v>
      </c>
      <c r="D112" s="11">
        <f t="shared" ref="D112:E112" si="112">IF(MOD(F112, 5) &lt;= 2.5, FLOOR(F112, 5), CEILING(F112, 5))</f>
        <v>15</v>
      </c>
      <c r="E112" s="11">
        <f t="shared" si="112"/>
        <v>25</v>
      </c>
      <c r="F112" s="11">
        <f>IFERROR((VLOOKUP(B112, Roccia!$B$2:$D997, 3, FALSE)*(1+Datos!$E$1)), "Revisar")</f>
        <v>17.16</v>
      </c>
      <c r="G112" s="11">
        <f>IFERROR(F112*Datos!$B$3, "Revisar")</f>
        <v>25.74</v>
      </c>
      <c r="H112" s="12">
        <f>IFERROR(G112*Datos!$B$1, "Revisar")</f>
        <v>14866.03661</v>
      </c>
      <c r="I112" s="13">
        <f>IFERROR((VLOOKUP(B112, Roccia!$B$2:$D997, 3, FALSE) /(1-Datos!$E$1)), "Revisar")</f>
        <v>18.85714286</v>
      </c>
      <c r="J112" s="13">
        <f>IFERROR(I112*Datos!$B$3, "Revisar")</f>
        <v>28.28571429</v>
      </c>
      <c r="K112" s="13">
        <f t="shared" si="3"/>
        <v>2.545714286</v>
      </c>
    </row>
    <row r="113">
      <c r="A113" s="8" t="s">
        <v>221</v>
      </c>
      <c r="B113" s="9" t="s">
        <v>242</v>
      </c>
      <c r="C113" s="10" t="s">
        <v>243</v>
      </c>
      <c r="D113" s="11">
        <f t="shared" ref="D113:E113" si="113">IF(MOD(F113, 5) &lt;= 2.5, FLOOR(F113, 5), CEILING(F113, 5))</f>
        <v>30</v>
      </c>
      <c r="E113" s="11">
        <f t="shared" si="113"/>
        <v>50</v>
      </c>
      <c r="F113" s="11">
        <f>IFERROR((VLOOKUP(B113, Roccia!$B$2:$D997, 3, FALSE)*(1+Datos!$E$1)), "Revisar")</f>
        <v>32.5</v>
      </c>
      <c r="G113" s="11">
        <f>IFERROR(F113*Datos!$B$3, "Revisar")</f>
        <v>48.75</v>
      </c>
      <c r="H113" s="12">
        <f>IFERROR(G113*Datos!$B$1, "Revisar")</f>
        <v>28155.37238</v>
      </c>
      <c r="I113" s="13">
        <f>IFERROR((VLOOKUP(B113, Roccia!$B$2:$D997, 3, FALSE) /(1-Datos!$E$1)), "Revisar")</f>
        <v>35.71428571</v>
      </c>
      <c r="J113" s="13">
        <f>IFERROR(I113*Datos!$B$3, "Revisar")</f>
        <v>53.57142857</v>
      </c>
      <c r="K113" s="13">
        <f t="shared" si="3"/>
        <v>4.821428571</v>
      </c>
    </row>
    <row r="114">
      <c r="A114" s="8" t="s">
        <v>221</v>
      </c>
      <c r="B114" s="9" t="s">
        <v>244</v>
      </c>
      <c r="C114" s="10" t="s">
        <v>245</v>
      </c>
      <c r="D114" s="11">
        <f t="shared" ref="D114:E114" si="114">IF(MOD(F114, 5) &lt;= 2.5, FLOOR(F114, 5), CEILING(F114, 5))</f>
        <v>30</v>
      </c>
      <c r="E114" s="11">
        <f t="shared" si="114"/>
        <v>45</v>
      </c>
      <c r="F114" s="11">
        <f>IFERROR((VLOOKUP(B114, Roccia!$B$2:$D997, 3, FALSE)*(1+Datos!$E$1)), "Revisar")</f>
        <v>29.9</v>
      </c>
      <c r="G114" s="11">
        <f>IFERROR(F114*Datos!$B$3, "Revisar")</f>
        <v>44.85</v>
      </c>
      <c r="H114" s="12">
        <f>IFERROR(G114*Datos!$B$1, "Revisar")</f>
        <v>25902.94259</v>
      </c>
      <c r="I114" s="13">
        <f>IFERROR((VLOOKUP(B114, Roccia!$B$2:$D997, 3, FALSE) /(1-Datos!$E$1)), "Revisar")</f>
        <v>32.85714286</v>
      </c>
      <c r="J114" s="13">
        <f>IFERROR(I114*Datos!$B$3, "Revisar")</f>
        <v>49.28571429</v>
      </c>
      <c r="K114" s="13">
        <f t="shared" si="3"/>
        <v>4.435714286</v>
      </c>
    </row>
    <row r="115">
      <c r="A115" s="8" t="s">
        <v>221</v>
      </c>
      <c r="B115" s="9" t="s">
        <v>246</v>
      </c>
      <c r="C115" s="10" t="s">
        <v>247</v>
      </c>
      <c r="D115" s="11">
        <f t="shared" ref="D115:E115" si="115">IF(MOD(F115, 5) &lt;= 2.5, FLOOR(F115, 5), CEILING(F115, 5))</f>
        <v>45</v>
      </c>
      <c r="E115" s="11">
        <f t="shared" si="115"/>
        <v>65</v>
      </c>
      <c r="F115" s="11">
        <f>IFERROR((VLOOKUP(B115, Roccia!$B$2:$D997, 3, FALSE)*(1+Datos!$E$1)), "Revisar")</f>
        <v>44.109</v>
      </c>
      <c r="G115" s="11">
        <f>IFERROR(F115*Datos!$B$3, "Revisar")</f>
        <v>66.1635</v>
      </c>
      <c r="H115" s="12">
        <f>IFERROR(G115*Datos!$B$1, "Revisar")</f>
        <v>38212.47139</v>
      </c>
      <c r="I115" s="13">
        <f>IFERROR((VLOOKUP(B115, Roccia!$B$2:$D997, 3, FALSE) /(1-Datos!$E$1)), "Revisar")</f>
        <v>48.47142857</v>
      </c>
      <c r="J115" s="13">
        <f>IFERROR(I115*Datos!$B$3, "Revisar")</f>
        <v>72.70714286</v>
      </c>
      <c r="K115" s="13">
        <f t="shared" si="3"/>
        <v>6.543642857</v>
      </c>
    </row>
    <row r="116">
      <c r="A116" s="8" t="s">
        <v>221</v>
      </c>
      <c r="B116" s="9" t="s">
        <v>248</v>
      </c>
      <c r="C116" s="10" t="s">
        <v>249</v>
      </c>
      <c r="D116" s="11">
        <f t="shared" ref="D116:E116" si="116">IF(MOD(F116, 5) &lt;= 2.5, FLOOR(F116, 5), CEILING(F116, 5))</f>
        <v>55</v>
      </c>
      <c r="E116" s="11">
        <f t="shared" si="116"/>
        <v>80</v>
      </c>
      <c r="F116" s="11">
        <f>IFERROR((VLOOKUP(B116, Roccia!$B$2:$D997, 3, FALSE)*(1+Datos!$E$1)), "Revisar")</f>
        <v>54.6</v>
      </c>
      <c r="G116" s="11">
        <f>IFERROR(F116*Datos!$B$3, "Revisar")</f>
        <v>81.9</v>
      </c>
      <c r="H116" s="12">
        <f>IFERROR(G116*Datos!$B$1, "Revisar")</f>
        <v>47301.02559</v>
      </c>
      <c r="I116" s="13">
        <f>IFERROR((VLOOKUP(B116, Roccia!$B$2:$D997, 3, FALSE) /(1-Datos!$E$1)), "Revisar")</f>
        <v>60</v>
      </c>
      <c r="J116" s="13">
        <f>IFERROR(I116*Datos!$B$3, "Revisar")</f>
        <v>90</v>
      </c>
      <c r="K116" s="13">
        <f t="shared" si="3"/>
        <v>8.1</v>
      </c>
    </row>
    <row r="117">
      <c r="A117" s="8" t="s">
        <v>221</v>
      </c>
      <c r="B117" s="9" t="s">
        <v>250</v>
      </c>
      <c r="C117" s="10" t="s">
        <v>251</v>
      </c>
      <c r="D117" s="11">
        <f t="shared" ref="D117:E117" si="117">IF(MOD(F117, 5) &lt;= 2.5, FLOOR(F117, 5), CEILING(F117, 5))</f>
        <v>40</v>
      </c>
      <c r="E117" s="11">
        <f t="shared" si="117"/>
        <v>60</v>
      </c>
      <c r="F117" s="11">
        <f>IFERROR((VLOOKUP(B117, Roccia!$B$2:$D997, 3, FALSE)*(1+Datos!$E$1)), "Revisar")</f>
        <v>40.3</v>
      </c>
      <c r="G117" s="11">
        <f>IFERROR(F117*Datos!$B$3, "Revisar")</f>
        <v>60.45</v>
      </c>
      <c r="H117" s="12">
        <f>IFERROR(G117*Datos!$B$1, "Revisar")</f>
        <v>34912.66175</v>
      </c>
      <c r="I117" s="13">
        <f>IFERROR((VLOOKUP(B117, Roccia!$B$2:$D997, 3, FALSE) /(1-Datos!$E$1)), "Revisar")</f>
        <v>44.28571429</v>
      </c>
      <c r="J117" s="13">
        <f>IFERROR(I117*Datos!$B$3, "Revisar")</f>
        <v>66.42857143</v>
      </c>
      <c r="K117" s="13">
        <f t="shared" si="3"/>
        <v>5.978571429</v>
      </c>
    </row>
    <row r="118">
      <c r="A118" s="8" t="s">
        <v>221</v>
      </c>
      <c r="B118" s="9" t="s">
        <v>252</v>
      </c>
      <c r="C118" s="10" t="s">
        <v>253</v>
      </c>
      <c r="D118" s="11">
        <f t="shared" ref="D118:E118" si="118">IF(MOD(F118, 5) &lt;= 2.5, FLOOR(F118, 5), CEILING(F118, 5))</f>
        <v>10</v>
      </c>
      <c r="E118" s="11">
        <f t="shared" si="118"/>
        <v>15</v>
      </c>
      <c r="F118" s="11">
        <f>IFERROR((VLOOKUP(B118, Roccia!$B$2:$D997, 3, FALSE)*(1+Datos!$E$1)), "Revisar")</f>
        <v>9.1</v>
      </c>
      <c r="G118" s="11">
        <f>IFERROR(F118*Datos!$B$3, "Revisar")</f>
        <v>13.65</v>
      </c>
      <c r="H118" s="12">
        <f>IFERROR(G118*Datos!$B$1, "Revisar")</f>
        <v>7883.504265</v>
      </c>
      <c r="I118" s="13">
        <f>IFERROR((VLOOKUP(B118, Roccia!$B$2:$D997, 3, FALSE) /(1-Datos!$E$1)), "Revisar")</f>
        <v>10</v>
      </c>
      <c r="J118" s="13">
        <f>IFERROR(I118*Datos!$B$3, "Revisar")</f>
        <v>15</v>
      </c>
      <c r="K118" s="13">
        <f t="shared" si="3"/>
        <v>1.35</v>
      </c>
    </row>
    <row r="119">
      <c r="A119" s="8" t="s">
        <v>221</v>
      </c>
      <c r="B119" s="9" t="s">
        <v>254</v>
      </c>
      <c r="C119" s="10" t="s">
        <v>255</v>
      </c>
      <c r="D119" s="11">
        <f t="shared" ref="D119:E119" si="119">IF(MOD(F119, 5) &lt;= 2.5, FLOOR(F119, 5), CEILING(F119, 5))</f>
        <v>10</v>
      </c>
      <c r="E119" s="11">
        <f t="shared" si="119"/>
        <v>15</v>
      </c>
      <c r="F119" s="11">
        <f>IFERROR((VLOOKUP(B119, Roccia!$B$2:$D997, 3, FALSE)*(1+Datos!$E$1)), "Revisar")</f>
        <v>10.4</v>
      </c>
      <c r="G119" s="11">
        <f>IFERROR(F119*Datos!$B$3, "Revisar")</f>
        <v>15.6</v>
      </c>
      <c r="H119" s="12">
        <f>IFERROR(G119*Datos!$B$1, "Revisar")</f>
        <v>9009.71916</v>
      </c>
      <c r="I119" s="13">
        <f>IFERROR((VLOOKUP(B119, Roccia!$B$2:$D997, 3, FALSE) /(1-Datos!$E$1)), "Revisar")</f>
        <v>11.42857143</v>
      </c>
      <c r="J119" s="13">
        <f>IFERROR(I119*Datos!$B$3, "Revisar")</f>
        <v>17.14285714</v>
      </c>
      <c r="K119" s="13">
        <f t="shared" si="3"/>
        <v>1.542857143</v>
      </c>
    </row>
    <row r="120">
      <c r="A120" s="8" t="s">
        <v>221</v>
      </c>
      <c r="B120" s="9" t="s">
        <v>256</v>
      </c>
      <c r="C120" s="10" t="s">
        <v>257</v>
      </c>
      <c r="D120" s="11">
        <f t="shared" ref="D120:E120" si="120">IF(MOD(F120, 5) &lt;= 2.5, FLOOR(F120, 5), CEILING(F120, 5))</f>
        <v>10</v>
      </c>
      <c r="E120" s="11">
        <f t="shared" si="120"/>
        <v>10</v>
      </c>
      <c r="F120" s="11">
        <f>IFERROR((VLOOKUP(B120, Roccia!$B$2:$D997, 3, FALSE)*(1+Datos!$E$1)), "Revisar")</f>
        <v>7.8</v>
      </c>
      <c r="G120" s="11">
        <f>IFERROR(F120*Datos!$B$3, "Revisar")</f>
        <v>11.7</v>
      </c>
      <c r="H120" s="12">
        <f>IFERROR(G120*Datos!$B$1, "Revisar")</f>
        <v>6757.28937</v>
      </c>
      <c r="I120" s="13">
        <f>IFERROR((VLOOKUP(B120, Roccia!$B$2:$D997, 3, FALSE) /(1-Datos!$E$1)), "Revisar")</f>
        <v>8.571428571</v>
      </c>
      <c r="J120" s="13">
        <f>IFERROR(I120*Datos!$B$3, "Revisar")</f>
        <v>12.85714286</v>
      </c>
      <c r="K120" s="13">
        <f t="shared" si="3"/>
        <v>1.157142857</v>
      </c>
    </row>
    <row r="121">
      <c r="A121" s="8" t="s">
        <v>221</v>
      </c>
      <c r="B121" s="9" t="s">
        <v>258</v>
      </c>
      <c r="C121" s="10" t="s">
        <v>259</v>
      </c>
      <c r="D121" s="11">
        <f t="shared" ref="D121:E121" si="121">IF(MOD(F121, 5) &lt;= 2.5, FLOOR(F121, 5), CEILING(F121, 5))</f>
        <v>10</v>
      </c>
      <c r="E121" s="11">
        <f t="shared" si="121"/>
        <v>20</v>
      </c>
      <c r="F121" s="11">
        <f>IFERROR((VLOOKUP(B121, Roccia!$B$2:$D997, 3, FALSE)*(1+Datos!$E$1)), "Revisar")</f>
        <v>11.7</v>
      </c>
      <c r="G121" s="11">
        <f>IFERROR(F121*Datos!$B$3, "Revisar")</f>
        <v>17.55</v>
      </c>
      <c r="H121" s="12">
        <f>IFERROR(G121*Datos!$B$1, "Revisar")</f>
        <v>10135.93406</v>
      </c>
      <c r="I121" s="13">
        <f>IFERROR((VLOOKUP(B121, Roccia!$B$2:$D997, 3, FALSE) /(1-Datos!$E$1)), "Revisar")</f>
        <v>12.85714286</v>
      </c>
      <c r="J121" s="13">
        <f>IFERROR(I121*Datos!$B$3, "Revisar")</f>
        <v>19.28571429</v>
      </c>
      <c r="K121" s="13">
        <f t="shared" si="3"/>
        <v>1.735714286</v>
      </c>
    </row>
    <row r="122">
      <c r="A122" s="8" t="s">
        <v>221</v>
      </c>
      <c r="B122" s="9" t="s">
        <v>260</v>
      </c>
      <c r="C122" s="10" t="s">
        <v>261</v>
      </c>
      <c r="D122" s="11">
        <f t="shared" ref="D122:E122" si="122">IF(MOD(F122, 5) &lt;= 2.5, FLOOR(F122, 5), CEILING(F122, 5))</f>
        <v>5</v>
      </c>
      <c r="E122" s="11">
        <f t="shared" si="122"/>
        <v>5</v>
      </c>
      <c r="F122" s="11">
        <f>IFERROR((VLOOKUP(B122, Roccia!$B$2:$D997, 3, FALSE)*(1+Datos!$E$1)), "Revisar")</f>
        <v>3.9</v>
      </c>
      <c r="G122" s="11">
        <f>IFERROR(F122*Datos!$B$3, "Revisar")</f>
        <v>5.85</v>
      </c>
      <c r="H122" s="12">
        <f>IFERROR(G122*Datos!$B$1, "Revisar")</f>
        <v>3378.644685</v>
      </c>
      <c r="I122" s="13">
        <f>IFERROR((VLOOKUP(B122, Roccia!$B$2:$D997, 3, FALSE) /(1-Datos!$E$1)), "Revisar")</f>
        <v>4.285714286</v>
      </c>
      <c r="J122" s="13">
        <f>IFERROR(I122*Datos!$B$3, "Revisar")</f>
        <v>6.428571429</v>
      </c>
      <c r="K122" s="13">
        <f t="shared" si="3"/>
        <v>0.5785714286</v>
      </c>
    </row>
    <row r="123">
      <c r="A123" s="8" t="s">
        <v>221</v>
      </c>
      <c r="B123" s="9" t="s">
        <v>262</v>
      </c>
      <c r="C123" s="10" t="s">
        <v>263</v>
      </c>
      <c r="D123" s="11">
        <f t="shared" ref="D123:E123" si="123">IF(MOD(F123, 5) &lt;= 2.5, FLOOR(F123, 5), CEILING(F123, 5))</f>
        <v>10</v>
      </c>
      <c r="E123" s="11">
        <f t="shared" si="123"/>
        <v>15</v>
      </c>
      <c r="F123" s="11">
        <f>IFERROR((VLOOKUP(B123, Roccia!$B$2:$D997, 3, FALSE)*(1+Datos!$E$1)), "Revisar")</f>
        <v>10.4</v>
      </c>
      <c r="G123" s="11">
        <f>IFERROR(F123*Datos!$B$3, "Revisar")</f>
        <v>15.6</v>
      </c>
      <c r="H123" s="12">
        <f>IFERROR(G123*Datos!$B$1, "Revisar")</f>
        <v>9009.71916</v>
      </c>
      <c r="I123" s="13">
        <f>IFERROR((VLOOKUP(B123, Roccia!$B$2:$D997, 3, FALSE) /(1-Datos!$E$1)), "Revisar")</f>
        <v>11.42857143</v>
      </c>
      <c r="J123" s="13">
        <f>IFERROR(I123*Datos!$B$3, "Revisar")</f>
        <v>17.14285714</v>
      </c>
      <c r="K123" s="13">
        <f t="shared" si="3"/>
        <v>1.542857143</v>
      </c>
    </row>
    <row r="124">
      <c r="A124" s="8" t="s">
        <v>221</v>
      </c>
      <c r="B124" s="9" t="s">
        <v>264</v>
      </c>
      <c r="C124" s="10" t="s">
        <v>265</v>
      </c>
      <c r="D124" s="11">
        <f t="shared" ref="D124:E124" si="124">IF(MOD(F124, 5) &lt;= 2.5, FLOOR(F124, 5), CEILING(F124, 5))</f>
        <v>5</v>
      </c>
      <c r="E124" s="11">
        <f t="shared" si="124"/>
        <v>10</v>
      </c>
      <c r="F124" s="11">
        <f>IFERROR((VLOOKUP(B124, Roccia!$B$2:$D997, 3, FALSE)*(1+Datos!$E$1)), "Revisar")</f>
        <v>5.2</v>
      </c>
      <c r="G124" s="11">
        <f>IFERROR(F124*Datos!$B$3, "Revisar")</f>
        <v>7.8</v>
      </c>
      <c r="H124" s="12">
        <f>IFERROR(G124*Datos!$B$1, "Revisar")</f>
        <v>4504.85958</v>
      </c>
      <c r="I124" s="13">
        <f>IFERROR((VLOOKUP(B124, Roccia!$B$2:$D997, 3, FALSE) /(1-Datos!$E$1)), "Revisar")</f>
        <v>5.714285714</v>
      </c>
      <c r="J124" s="13">
        <f>IFERROR(I124*Datos!$B$3, "Revisar")</f>
        <v>8.571428571</v>
      </c>
      <c r="K124" s="13">
        <f t="shared" si="3"/>
        <v>0.7714285714</v>
      </c>
    </row>
    <row r="125">
      <c r="A125" s="8" t="s">
        <v>221</v>
      </c>
      <c r="B125" s="9" t="s">
        <v>266</v>
      </c>
      <c r="C125" s="10" t="s">
        <v>267</v>
      </c>
      <c r="D125" s="11">
        <f t="shared" ref="D125:E125" si="125">IF(MOD(F125, 5) &lt;= 2.5, FLOOR(F125, 5), CEILING(F125, 5))</f>
        <v>5</v>
      </c>
      <c r="E125" s="11">
        <f t="shared" si="125"/>
        <v>5</v>
      </c>
      <c r="F125" s="11">
        <f>IFERROR((VLOOKUP(B125, Roccia!$B$2:$D997, 3, FALSE)*(1+Datos!$E$1)), "Revisar")</f>
        <v>3.25</v>
      </c>
      <c r="G125" s="11">
        <f>IFERROR(F125*Datos!$B$3, "Revisar")</f>
        <v>4.875</v>
      </c>
      <c r="H125" s="12">
        <f>IFERROR(G125*Datos!$B$1, "Revisar")</f>
        <v>2815.537238</v>
      </c>
      <c r="I125" s="13">
        <f>IFERROR((VLOOKUP(B125, Roccia!$B$2:$D997, 3, FALSE) /(1-Datos!$E$1)), "Revisar")</f>
        <v>3.571428571</v>
      </c>
      <c r="J125" s="13">
        <f>IFERROR(I125*Datos!$B$3, "Revisar")</f>
        <v>5.357142857</v>
      </c>
      <c r="K125" s="13">
        <f t="shared" si="3"/>
        <v>0.4821428571</v>
      </c>
    </row>
    <row r="126">
      <c r="A126" s="8" t="s">
        <v>221</v>
      </c>
      <c r="B126" s="9" t="s">
        <v>268</v>
      </c>
      <c r="C126" s="10" t="s">
        <v>269</v>
      </c>
      <c r="D126" s="11">
        <f t="shared" ref="D126:E126" si="126">IF(MOD(F126, 5) &lt;= 2.5, FLOOR(F126, 5), CEILING(F126, 5))</f>
        <v>5</v>
      </c>
      <c r="E126" s="11">
        <f t="shared" si="126"/>
        <v>10</v>
      </c>
      <c r="F126" s="11">
        <f>IFERROR((VLOOKUP(B126, Roccia!$B$2:$D997, 3, FALSE)*(1+Datos!$E$1)), "Revisar")</f>
        <v>6.5</v>
      </c>
      <c r="G126" s="11">
        <f>IFERROR(F126*Datos!$B$3, "Revisar")</f>
        <v>9.75</v>
      </c>
      <c r="H126" s="12">
        <f>IFERROR(G126*Datos!$B$1, "Revisar")</f>
        <v>5631.074475</v>
      </c>
      <c r="I126" s="13">
        <f>IFERROR((VLOOKUP(B126, Roccia!$B$2:$D997, 3, FALSE) /(1-Datos!$E$1)), "Revisar")</f>
        <v>7.142857143</v>
      </c>
      <c r="J126" s="13">
        <f>IFERROR(I126*Datos!$B$3, "Revisar")</f>
        <v>10.71428571</v>
      </c>
      <c r="K126" s="13">
        <f t="shared" si="3"/>
        <v>0.9642857143</v>
      </c>
    </row>
    <row r="127">
      <c r="A127" s="8" t="s">
        <v>221</v>
      </c>
      <c r="B127" s="9" t="s">
        <v>270</v>
      </c>
      <c r="C127" s="10" t="s">
        <v>271</v>
      </c>
      <c r="D127" s="11">
        <f t="shared" ref="D127:E127" si="127">IF(MOD(F127, 5) &lt;= 2.5, FLOOR(F127, 5), CEILING(F127, 5))</f>
        <v>45</v>
      </c>
      <c r="E127" s="11">
        <f t="shared" si="127"/>
        <v>70</v>
      </c>
      <c r="F127" s="11">
        <f>IFERROR((VLOOKUP(B127, Roccia!$B$2:$D997, 3, FALSE)*(1+Datos!$E$1)), "Revisar")</f>
        <v>45.5</v>
      </c>
      <c r="G127" s="11">
        <f>IFERROR(F127*Datos!$B$3, "Revisar")</f>
        <v>68.25</v>
      </c>
      <c r="H127" s="12">
        <f>IFERROR(G127*Datos!$B$1, "Revisar")</f>
        <v>39417.52133</v>
      </c>
      <c r="I127" s="13">
        <f>IFERROR((VLOOKUP(B127, Roccia!$B$2:$D997, 3, FALSE) /(1-Datos!$E$1)), "Revisar")</f>
        <v>50</v>
      </c>
      <c r="J127" s="13">
        <f>IFERROR(I127*Datos!$B$3, "Revisar")</f>
        <v>75</v>
      </c>
      <c r="K127" s="13">
        <f t="shared" si="3"/>
        <v>6.75</v>
      </c>
    </row>
    <row r="128">
      <c r="A128" s="8" t="s">
        <v>221</v>
      </c>
      <c r="B128" s="9" t="s">
        <v>272</v>
      </c>
      <c r="C128" s="10" t="s">
        <v>273</v>
      </c>
      <c r="D128" s="11">
        <f t="shared" ref="D128:E128" si="128">IF(MOD(F128, 5) &lt;= 2.5, FLOOR(F128, 5), CEILING(F128, 5))</f>
        <v>120</v>
      </c>
      <c r="E128" s="11">
        <f t="shared" si="128"/>
        <v>175</v>
      </c>
      <c r="F128" s="11">
        <f>IFERROR((VLOOKUP(B128, Roccia!$B$2:$D997, 3, FALSE)*(1+Datos!$E$1)), "Revisar")</f>
        <v>117.988</v>
      </c>
      <c r="G128" s="11">
        <f>IFERROR(F128*Datos!$B$3, "Revisar")</f>
        <v>176.982</v>
      </c>
      <c r="H128" s="12">
        <f>IFERROR(G128*Datos!$B$1, "Revisar")</f>
        <v>102215.2639</v>
      </c>
      <c r="I128" s="13">
        <f>IFERROR((VLOOKUP(B128, Roccia!$B$2:$D997, 3, FALSE) /(1-Datos!$E$1)), "Revisar")</f>
        <v>129.6571429</v>
      </c>
      <c r="J128" s="13">
        <f>IFERROR(I128*Datos!$B$3, "Revisar")</f>
        <v>194.4857143</v>
      </c>
      <c r="K128" s="13">
        <f t="shared" si="3"/>
        <v>17.50371429</v>
      </c>
    </row>
    <row r="129">
      <c r="A129" s="8" t="s">
        <v>221</v>
      </c>
      <c r="B129" s="9" t="s">
        <v>274</v>
      </c>
      <c r="C129" s="10" t="s">
        <v>275</v>
      </c>
      <c r="D129" s="11">
        <f t="shared" ref="D129:E129" si="129">IF(MOD(F129, 5) &lt;= 2.5, FLOOR(F129, 5), CEILING(F129, 5))</f>
        <v>450</v>
      </c>
      <c r="E129" s="11">
        <f t="shared" si="129"/>
        <v>675</v>
      </c>
      <c r="F129" s="11">
        <f>IFERROR((VLOOKUP(B129, Roccia!$B$2:$D997, 3, FALSE)*(1+Datos!$E$1)), "Revisar")</f>
        <v>450.58</v>
      </c>
      <c r="G129" s="11">
        <f>IFERROR(F129*Datos!$B$3, "Revisar")</f>
        <v>675.87</v>
      </c>
      <c r="H129" s="12">
        <f>IFERROR(G129*Datos!$B$1, "Revisar")</f>
        <v>390346.0826</v>
      </c>
      <c r="I129" s="13">
        <f>IFERROR((VLOOKUP(B129, Roccia!$B$2:$D997, 3, FALSE) /(1-Datos!$E$1)), "Revisar")</f>
        <v>495.1428571</v>
      </c>
      <c r="J129" s="13">
        <f>IFERROR(I129*Datos!$B$3, "Revisar")</f>
        <v>742.7142857</v>
      </c>
      <c r="K129" s="13">
        <f t="shared" si="3"/>
        <v>66.84428571</v>
      </c>
    </row>
    <row r="130">
      <c r="A130" s="8" t="s">
        <v>221</v>
      </c>
      <c r="B130" s="9" t="s">
        <v>276</v>
      </c>
      <c r="C130" s="10" t="s">
        <v>277</v>
      </c>
      <c r="D130" s="11">
        <f t="shared" ref="D130:E130" si="130">IF(MOD(F130, 5) &lt;= 2.5, FLOOR(F130, 5), CEILING(F130, 5))</f>
        <v>460</v>
      </c>
      <c r="E130" s="11">
        <f t="shared" si="130"/>
        <v>690</v>
      </c>
      <c r="F130" s="11">
        <f>IFERROR((VLOOKUP(B130, Roccia!$B$2:$D997, 3, FALSE)*(1+Datos!$E$1)), "Revisar")</f>
        <v>458.991</v>
      </c>
      <c r="G130" s="11">
        <f>IFERROR(F130*Datos!$B$3, "Revisar")</f>
        <v>688.4865</v>
      </c>
      <c r="H130" s="12">
        <f>IFERROR(G130*Datos!$B$1, "Revisar")</f>
        <v>397632.693</v>
      </c>
      <c r="I130" s="13">
        <f>IFERROR((VLOOKUP(B130, Roccia!$B$2:$D997, 3, FALSE) /(1-Datos!$E$1)), "Revisar")</f>
        <v>504.3857143</v>
      </c>
      <c r="J130" s="13">
        <f>IFERROR(I130*Datos!$B$3, "Revisar")</f>
        <v>756.5785714</v>
      </c>
      <c r="K130" s="13">
        <f t="shared" si="3"/>
        <v>68.09207143</v>
      </c>
    </row>
    <row r="131">
      <c r="A131" s="8" t="s">
        <v>221</v>
      </c>
      <c r="B131" s="9" t="s">
        <v>278</v>
      </c>
      <c r="C131" s="10" t="s">
        <v>279</v>
      </c>
      <c r="D131" s="11">
        <f t="shared" ref="D131:E131" si="131">IF(MOD(F131, 5) &lt;= 2.5, FLOOR(F131, 5), CEILING(F131, 5))</f>
        <v>90</v>
      </c>
      <c r="E131" s="11">
        <f t="shared" si="131"/>
        <v>135</v>
      </c>
      <c r="F131" s="11">
        <f>IFERROR((VLOOKUP(B131, Roccia!$B$2:$D997, 3, FALSE)*(1+Datos!$E$1)), "Revisar")</f>
        <v>89.674</v>
      </c>
      <c r="G131" s="11">
        <f>IFERROR(F131*Datos!$B$3, "Revisar")</f>
        <v>134.511</v>
      </c>
      <c r="H131" s="12">
        <f>IFERROR(G131*Datos!$B$1, "Revisar")</f>
        <v>77686.30346</v>
      </c>
      <c r="I131" s="13">
        <f>IFERROR((VLOOKUP(B131, Roccia!$B$2:$D997, 3, FALSE) /(1-Datos!$E$1)), "Revisar")</f>
        <v>98.54285714</v>
      </c>
      <c r="J131" s="13">
        <f>IFERROR(I131*Datos!$B$3, "Revisar")</f>
        <v>147.8142857</v>
      </c>
      <c r="K131" s="13">
        <f t="shared" si="3"/>
        <v>13.30328571</v>
      </c>
    </row>
    <row r="132">
      <c r="A132" s="8" t="s">
        <v>221</v>
      </c>
      <c r="B132" s="9" t="s">
        <v>280</v>
      </c>
      <c r="C132" s="10" t="s">
        <v>281</v>
      </c>
      <c r="D132" s="11">
        <f t="shared" ref="D132:E132" si="132">IF(MOD(F132, 5) &lt;= 2.5, FLOOR(F132, 5), CEILING(F132, 5))</f>
        <v>5</v>
      </c>
      <c r="E132" s="11">
        <f t="shared" si="132"/>
        <v>10</v>
      </c>
      <c r="F132" s="11">
        <f>IFERROR((VLOOKUP(B132, Roccia!$B$2:$D997, 3, FALSE)*(1+Datos!$E$1)), "Revisar")</f>
        <v>5.096</v>
      </c>
      <c r="G132" s="11">
        <f>IFERROR(F132*Datos!$B$3, "Revisar")</f>
        <v>7.644</v>
      </c>
      <c r="H132" s="12">
        <f>IFERROR(G132*Datos!$B$1, "Revisar")</f>
        <v>4414.762388</v>
      </c>
      <c r="I132" s="13">
        <f>IFERROR((VLOOKUP(B132, Roccia!$B$2:$D997, 3, FALSE) /(1-Datos!$E$1)), "Revisar")</f>
        <v>5.6</v>
      </c>
      <c r="J132" s="13">
        <f>IFERROR(I132*Datos!$B$3, "Revisar")</f>
        <v>8.4</v>
      </c>
      <c r="K132" s="13">
        <f t="shared" si="3"/>
        <v>0.756</v>
      </c>
    </row>
    <row r="133">
      <c r="A133" s="8" t="s">
        <v>221</v>
      </c>
      <c r="B133" s="9" t="s">
        <v>282</v>
      </c>
      <c r="C133" s="10" t="s">
        <v>283</v>
      </c>
      <c r="D133" s="11">
        <f t="shared" ref="D133:E133" si="133">IF(MOD(F133, 5) &lt;= 2.5, FLOOR(F133, 5), CEILING(F133, 5))</f>
        <v>10</v>
      </c>
      <c r="E133" s="11">
        <f t="shared" si="133"/>
        <v>15</v>
      </c>
      <c r="F133" s="11">
        <f>IFERROR((VLOOKUP(B133, Roccia!$B$2:$D997, 3, FALSE)*(1+Datos!$E$1)), "Revisar")</f>
        <v>8.398</v>
      </c>
      <c r="G133" s="11">
        <f>IFERROR(F133*Datos!$B$3, "Revisar")</f>
        <v>12.597</v>
      </c>
      <c r="H133" s="12">
        <f>IFERROR(G133*Datos!$B$1, "Revisar")</f>
        <v>7275.348222</v>
      </c>
      <c r="I133" s="13">
        <f>IFERROR((VLOOKUP(B133, Roccia!$B$2:$D997, 3, FALSE) /(1-Datos!$E$1)), "Revisar")</f>
        <v>9.228571429</v>
      </c>
      <c r="J133" s="13">
        <f>IFERROR(I133*Datos!$B$3, "Revisar")</f>
        <v>13.84285714</v>
      </c>
      <c r="K133" s="13">
        <f t="shared" si="3"/>
        <v>1.245857143</v>
      </c>
    </row>
    <row r="134">
      <c r="A134" s="8" t="s">
        <v>221</v>
      </c>
      <c r="B134" s="9" t="s">
        <v>284</v>
      </c>
      <c r="C134" s="10" t="s">
        <v>285</v>
      </c>
      <c r="D134" s="11">
        <f t="shared" ref="D134:E134" si="134">IF(MOD(F134, 5) &lt;= 2.5, FLOOR(F134, 5), CEILING(F134, 5))</f>
        <v>65</v>
      </c>
      <c r="E134" s="11">
        <f t="shared" si="134"/>
        <v>100</v>
      </c>
      <c r="F134" s="11">
        <f>IFERROR((VLOOKUP(B134, Roccia!$B$2:$D997, 3, FALSE)*(1+Datos!$E$1)), "Revisar")</f>
        <v>66.131</v>
      </c>
      <c r="G134" s="11">
        <f>IFERROR(F134*Datos!$B$3, "Revisar")</f>
        <v>99.1965</v>
      </c>
      <c r="H134" s="12">
        <f>IFERROR(G134*Datos!$B$1, "Revisar")</f>
        <v>57290.55171</v>
      </c>
      <c r="I134" s="13">
        <f>IFERROR((VLOOKUP(B134, Roccia!$B$2:$D997, 3, FALSE) /(1-Datos!$E$1)), "Revisar")</f>
        <v>72.67142857</v>
      </c>
      <c r="J134" s="13">
        <f>IFERROR(I134*Datos!$B$3, "Revisar")</f>
        <v>109.0071429</v>
      </c>
      <c r="K134" s="13">
        <f t="shared" si="3"/>
        <v>9.810642857</v>
      </c>
    </row>
    <row r="135">
      <c r="A135" s="8" t="s">
        <v>221</v>
      </c>
      <c r="B135" s="9" t="s">
        <v>286</v>
      </c>
      <c r="C135" s="10" t="s">
        <v>287</v>
      </c>
      <c r="D135" s="11">
        <f t="shared" ref="D135:E135" si="135">IF(MOD(F135, 5) &lt;= 2.5, FLOOR(F135, 5), CEILING(F135, 5))</f>
        <v>60</v>
      </c>
      <c r="E135" s="11">
        <f t="shared" si="135"/>
        <v>90</v>
      </c>
      <c r="F135" s="11">
        <f>IFERROR((VLOOKUP(B135, Roccia!$B$2:$D997, 3, FALSE)*(1+Datos!$E$1)), "Revisar")</f>
        <v>58.656</v>
      </c>
      <c r="G135" s="11">
        <f>IFERROR(F135*Datos!$B$3, "Revisar")</f>
        <v>87.984</v>
      </c>
      <c r="H135" s="12">
        <f>IFERROR(G135*Datos!$B$1, "Revisar")</f>
        <v>50814.81606</v>
      </c>
      <c r="I135" s="13">
        <f>IFERROR((VLOOKUP(B135, Roccia!$B$2:$D997, 3, FALSE) /(1-Datos!$E$1)), "Revisar")</f>
        <v>64.45714286</v>
      </c>
      <c r="J135" s="13">
        <f>IFERROR(I135*Datos!$B$3, "Revisar")</f>
        <v>96.68571429</v>
      </c>
      <c r="K135" s="13">
        <f t="shared" si="3"/>
        <v>8.701714286</v>
      </c>
    </row>
    <row r="136">
      <c r="A136" s="8" t="s">
        <v>221</v>
      </c>
      <c r="B136" s="9" t="s">
        <v>288</v>
      </c>
      <c r="C136" s="10" t="s">
        <v>289</v>
      </c>
      <c r="D136" s="11">
        <f t="shared" ref="D136:E136" si="136">IF(MOD(F136, 5) &lt;= 2.5, FLOOR(F136, 5), CEILING(F136, 5))</f>
        <v>5</v>
      </c>
      <c r="E136" s="11">
        <f t="shared" si="136"/>
        <v>10</v>
      </c>
      <c r="F136" s="11">
        <f>IFERROR((VLOOKUP(B136, Roccia!$B$2:$D997, 3, FALSE)*(1+Datos!$E$1)), "Revisar")</f>
        <v>7.241</v>
      </c>
      <c r="G136" s="11">
        <f>IFERROR(F136*Datos!$B$3, "Revisar")</f>
        <v>10.8615</v>
      </c>
      <c r="H136" s="12">
        <f>IFERROR(G136*Datos!$B$1, "Revisar")</f>
        <v>6273.016965</v>
      </c>
      <c r="I136" s="13">
        <f>IFERROR((VLOOKUP(B136, Roccia!$B$2:$D997, 3, FALSE) /(1-Datos!$E$1)), "Revisar")</f>
        <v>7.957142857</v>
      </c>
      <c r="J136" s="13">
        <f>IFERROR(I136*Datos!$B$3, "Revisar")</f>
        <v>11.93571429</v>
      </c>
      <c r="K136" s="13">
        <f t="shared" si="3"/>
        <v>1.074214286</v>
      </c>
    </row>
    <row r="137">
      <c r="A137" s="8" t="s">
        <v>221</v>
      </c>
      <c r="B137" s="9" t="s">
        <v>290</v>
      </c>
      <c r="C137" s="10" t="s">
        <v>291</v>
      </c>
      <c r="D137" s="11">
        <f t="shared" ref="D137:E137" si="137">IF(MOD(F137, 5) &lt;= 2.5, FLOOR(F137, 5), CEILING(F137, 5))</f>
        <v>20</v>
      </c>
      <c r="E137" s="11">
        <f t="shared" si="137"/>
        <v>25</v>
      </c>
      <c r="F137" s="11">
        <f>IFERROR((VLOOKUP(B137, Roccia!$B$2:$D997, 3, FALSE)*(1+Datos!$E$1)), "Revisar")</f>
        <v>17.758</v>
      </c>
      <c r="G137" s="11">
        <f>IFERROR(F137*Datos!$B$3, "Revisar")</f>
        <v>26.637</v>
      </c>
      <c r="H137" s="12">
        <f>IFERROR(G137*Datos!$B$1, "Revisar")</f>
        <v>15384.09547</v>
      </c>
      <c r="I137" s="13">
        <f>IFERROR((VLOOKUP(B137, Roccia!$B$2:$D997, 3, FALSE) /(1-Datos!$E$1)), "Revisar")</f>
        <v>19.51428571</v>
      </c>
      <c r="J137" s="13">
        <f>IFERROR(I137*Datos!$B$3, "Revisar")</f>
        <v>29.27142857</v>
      </c>
      <c r="K137" s="13">
        <f t="shared" si="3"/>
        <v>2.634428571</v>
      </c>
    </row>
    <row r="138">
      <c r="A138" s="8" t="s">
        <v>221</v>
      </c>
      <c r="B138" s="9" t="s">
        <v>292</v>
      </c>
      <c r="C138" s="10" t="s">
        <v>293</v>
      </c>
      <c r="D138" s="11">
        <f t="shared" ref="D138:E138" si="138">IF(MOD(F138, 5) &lt;= 2.5, FLOOR(F138, 5), CEILING(F138, 5))</f>
        <v>10</v>
      </c>
      <c r="E138" s="11">
        <f t="shared" si="138"/>
        <v>20</v>
      </c>
      <c r="F138" s="11">
        <f>IFERROR((VLOOKUP(B138, Roccia!$B$2:$D997, 3, FALSE)*(1+Datos!$E$1)), "Revisar")</f>
        <v>11.7</v>
      </c>
      <c r="G138" s="11">
        <f>IFERROR(F138*Datos!$B$3, "Revisar")</f>
        <v>17.55</v>
      </c>
      <c r="H138" s="12">
        <f>IFERROR(G138*Datos!$B$1, "Revisar")</f>
        <v>10135.93406</v>
      </c>
      <c r="I138" s="13">
        <f>IFERROR((VLOOKUP(B138, Roccia!$B$2:$D997, 3, FALSE) /(1-Datos!$E$1)), "Revisar")</f>
        <v>12.85714286</v>
      </c>
      <c r="J138" s="13">
        <f>IFERROR(I138*Datos!$B$3, "Revisar")</f>
        <v>19.28571429</v>
      </c>
      <c r="K138" s="13">
        <f t="shared" si="3"/>
        <v>1.735714286</v>
      </c>
    </row>
    <row r="139">
      <c r="A139" s="8" t="s">
        <v>221</v>
      </c>
      <c r="B139" s="9" t="s">
        <v>294</v>
      </c>
      <c r="C139" s="10" t="s">
        <v>295</v>
      </c>
      <c r="D139" s="11">
        <f t="shared" ref="D139:E139" si="139">IF(MOD(F139, 5) &lt;= 2.5, FLOOR(F139, 5), CEILING(F139, 5))</f>
        <v>10</v>
      </c>
      <c r="E139" s="11">
        <f t="shared" si="139"/>
        <v>15</v>
      </c>
      <c r="F139" s="11">
        <f>IFERROR((VLOOKUP(B139, Roccia!$B$2:$D997, 3, FALSE)*(1+Datos!$E$1)), "Revisar")</f>
        <v>9.139</v>
      </c>
      <c r="G139" s="11">
        <f>IFERROR(F139*Datos!$B$3, "Revisar")</f>
        <v>13.7085</v>
      </c>
      <c r="H139" s="12">
        <f>IFERROR(G139*Datos!$B$1, "Revisar")</f>
        <v>7917.290712</v>
      </c>
      <c r="I139" s="13">
        <f>IFERROR((VLOOKUP(B139, Roccia!$B$2:$D997, 3, FALSE) /(1-Datos!$E$1)), "Revisar")</f>
        <v>10.04285714</v>
      </c>
      <c r="J139" s="13">
        <f>IFERROR(I139*Datos!$B$3, "Revisar")</f>
        <v>15.06428571</v>
      </c>
      <c r="K139" s="13">
        <f t="shared" si="3"/>
        <v>1.355785714</v>
      </c>
    </row>
    <row r="140">
      <c r="A140" s="8" t="s">
        <v>221</v>
      </c>
      <c r="B140" s="9" t="s">
        <v>296</v>
      </c>
      <c r="C140" s="10" t="s">
        <v>297</v>
      </c>
      <c r="D140" s="11">
        <f t="shared" ref="D140:E140" si="140">IF(MOD(F140, 5) &lt;= 2.5, FLOOR(F140, 5), CEILING(F140, 5))</f>
        <v>10</v>
      </c>
      <c r="E140" s="11">
        <f t="shared" si="140"/>
        <v>15</v>
      </c>
      <c r="F140" s="11">
        <f>IFERROR((VLOOKUP(B140, Roccia!$B$2:$D997, 3, FALSE)*(1+Datos!$E$1)), "Revisar")</f>
        <v>9.49</v>
      </c>
      <c r="G140" s="11">
        <f>IFERROR(F140*Datos!$B$3, "Revisar")</f>
        <v>14.235</v>
      </c>
      <c r="H140" s="12">
        <f>IFERROR(G140*Datos!$B$1, "Revisar")</f>
        <v>8221.368734</v>
      </c>
      <c r="I140" s="13">
        <f>IFERROR((VLOOKUP(B140, Roccia!$B$2:$D997, 3, FALSE) /(1-Datos!$E$1)), "Revisar")</f>
        <v>10.42857143</v>
      </c>
      <c r="J140" s="13">
        <f>IFERROR(I140*Datos!$B$3, "Revisar")</f>
        <v>15.64285714</v>
      </c>
      <c r="K140" s="13">
        <f t="shared" si="3"/>
        <v>1.407857143</v>
      </c>
    </row>
    <row r="141">
      <c r="A141" s="8" t="s">
        <v>221</v>
      </c>
      <c r="B141" s="9" t="s">
        <v>298</v>
      </c>
      <c r="C141" s="10" t="s">
        <v>299</v>
      </c>
      <c r="D141" s="11">
        <f t="shared" ref="D141:E141" si="141">IF(MOD(F141, 5) &lt;= 2.5, FLOOR(F141, 5), CEILING(F141, 5))</f>
        <v>5</v>
      </c>
      <c r="E141" s="11">
        <f t="shared" si="141"/>
        <v>10</v>
      </c>
      <c r="F141" s="11">
        <f>IFERROR((VLOOKUP(B141, Roccia!$B$2:$D997, 3, FALSE)*(1+Datos!$E$1)), "Revisar")</f>
        <v>7.046</v>
      </c>
      <c r="G141" s="11">
        <f>IFERROR(F141*Datos!$B$3, "Revisar")</f>
        <v>10.569</v>
      </c>
      <c r="H141" s="12">
        <f>IFERROR(G141*Datos!$B$1, "Revisar")</f>
        <v>6104.084731</v>
      </c>
      <c r="I141" s="13">
        <f>IFERROR((VLOOKUP(B141, Roccia!$B$2:$D997, 3, FALSE) /(1-Datos!$E$1)), "Revisar")</f>
        <v>7.742857143</v>
      </c>
      <c r="J141" s="13">
        <f>IFERROR(I141*Datos!$B$3, "Revisar")</f>
        <v>11.61428571</v>
      </c>
      <c r="K141" s="13">
        <f t="shared" si="3"/>
        <v>1.045285714</v>
      </c>
    </row>
    <row r="142">
      <c r="A142" s="8" t="s">
        <v>221</v>
      </c>
      <c r="B142" s="9" t="s">
        <v>300</v>
      </c>
      <c r="C142" s="10" t="s">
        <v>301</v>
      </c>
      <c r="D142" s="11">
        <f t="shared" ref="D142:E142" si="142">IF(MOD(F142, 5) &lt;= 2.5, FLOOR(F142, 5), CEILING(F142, 5))</f>
        <v>215</v>
      </c>
      <c r="E142" s="11">
        <f t="shared" si="142"/>
        <v>320</v>
      </c>
      <c r="F142" s="11">
        <f>IFERROR((VLOOKUP(B142, Roccia!$B$2:$D997, 3, FALSE)*(1+Datos!$E$1)), "Revisar")</f>
        <v>214.5</v>
      </c>
      <c r="G142" s="11">
        <f>IFERROR(F142*Datos!$B$3, "Revisar")</f>
        <v>321.75</v>
      </c>
      <c r="H142" s="12">
        <f>IFERROR(G142*Datos!$B$1, "Revisar")</f>
        <v>185825.4577</v>
      </c>
      <c r="I142" s="13">
        <f>IFERROR((VLOOKUP(B142, Roccia!$B$2:$D997, 3, FALSE) /(1-Datos!$E$1)), "Revisar")</f>
        <v>235.7142857</v>
      </c>
      <c r="J142" s="13">
        <f>IFERROR(I142*Datos!$B$3, "Revisar")</f>
        <v>353.5714286</v>
      </c>
      <c r="K142" s="13">
        <f t="shared" si="3"/>
        <v>31.82142857</v>
      </c>
    </row>
    <row r="143">
      <c r="A143" s="8" t="s">
        <v>221</v>
      </c>
      <c r="B143" s="9" t="s">
        <v>302</v>
      </c>
      <c r="C143" s="10" t="s">
        <v>303</v>
      </c>
      <c r="D143" s="11">
        <f t="shared" ref="D143:E143" si="143">IF(MOD(F143, 5) &lt;= 2.5, FLOOR(F143, 5), CEILING(F143, 5))</f>
        <v>200</v>
      </c>
      <c r="E143" s="11">
        <f t="shared" si="143"/>
        <v>295</v>
      </c>
      <c r="F143" s="11">
        <f>IFERROR((VLOOKUP(B143, Roccia!$B$2:$D997, 3, FALSE)*(1+Datos!$E$1)), "Revisar")</f>
        <v>197.626</v>
      </c>
      <c r="G143" s="11">
        <f>IFERROR(F143*Datos!$B$3, "Revisar")</f>
        <v>296.439</v>
      </c>
      <c r="H143" s="12">
        <f>IFERROR(G143*Datos!$B$1, "Revisar")</f>
        <v>171207.1883</v>
      </c>
      <c r="I143" s="13">
        <f>IFERROR((VLOOKUP(B143, Roccia!$B$2:$D997, 3, FALSE) /(1-Datos!$E$1)), "Revisar")</f>
        <v>217.1714286</v>
      </c>
      <c r="J143" s="13">
        <f>IFERROR(I143*Datos!$B$3, "Revisar")</f>
        <v>325.7571429</v>
      </c>
      <c r="K143" s="13">
        <f t="shared" si="3"/>
        <v>29.31814286</v>
      </c>
    </row>
    <row r="144">
      <c r="A144" s="8" t="s">
        <v>221</v>
      </c>
      <c r="B144" s="9" t="s">
        <v>304</v>
      </c>
      <c r="C144" s="10" t="s">
        <v>305</v>
      </c>
      <c r="D144" s="11">
        <f t="shared" ref="D144:E144" si="144">IF(MOD(F144, 5) &lt;= 2.5, FLOOR(F144, 5), CEILING(F144, 5))</f>
        <v>265</v>
      </c>
      <c r="E144" s="11">
        <f t="shared" si="144"/>
        <v>395</v>
      </c>
      <c r="F144" s="11">
        <f>IFERROR((VLOOKUP(B144, Roccia!$B$2:$D997, 3, FALSE)*(1+Datos!$E$1)), "Revisar")</f>
        <v>263.692</v>
      </c>
      <c r="G144" s="11">
        <f>IFERROR(F144*Datos!$B$3, "Revisar")</f>
        <v>395.538</v>
      </c>
      <c r="H144" s="12">
        <f>IFERROR(G144*Datos!$B$1, "Revisar")</f>
        <v>228441.4293</v>
      </c>
      <c r="I144" s="13">
        <f>IFERROR((VLOOKUP(B144, Roccia!$B$2:$D997, 3, FALSE) /(1-Datos!$E$1)), "Revisar")</f>
        <v>289.7714286</v>
      </c>
      <c r="J144" s="13">
        <f>IFERROR(I144*Datos!$B$3, "Revisar")</f>
        <v>434.6571429</v>
      </c>
      <c r="K144" s="13">
        <f t="shared" si="3"/>
        <v>39.11914286</v>
      </c>
    </row>
    <row r="145">
      <c r="A145" s="8" t="s">
        <v>221</v>
      </c>
      <c r="B145" s="9" t="s">
        <v>306</v>
      </c>
      <c r="C145" s="10" t="s">
        <v>307</v>
      </c>
      <c r="D145" s="11">
        <f t="shared" ref="D145:E145" si="145">IF(MOD(F145, 5) &lt;= 2.5, FLOOR(F145, 5), CEILING(F145, 5))</f>
        <v>185</v>
      </c>
      <c r="E145" s="11">
        <f t="shared" si="145"/>
        <v>275</v>
      </c>
      <c r="F145" s="11">
        <f>IFERROR((VLOOKUP(B145, Roccia!$B$2:$D997, 3, FALSE)*(1+Datos!$E$1)), "Revisar")</f>
        <v>182.546</v>
      </c>
      <c r="G145" s="11">
        <f>IFERROR(F145*Datos!$B$3, "Revisar")</f>
        <v>273.819</v>
      </c>
      <c r="H145" s="12">
        <f>IFERROR(G145*Datos!$B$1, "Revisar")</f>
        <v>158143.0956</v>
      </c>
      <c r="I145" s="13">
        <f>IFERROR((VLOOKUP(B145, Roccia!$B$2:$D997, 3, FALSE) /(1-Datos!$E$1)), "Revisar")</f>
        <v>200.6</v>
      </c>
      <c r="J145" s="13">
        <f>IFERROR(I145*Datos!$B$3, "Revisar")</f>
        <v>300.9</v>
      </c>
      <c r="K145" s="13">
        <f t="shared" si="3"/>
        <v>27.081</v>
      </c>
    </row>
    <row r="146">
      <c r="A146" s="8" t="s">
        <v>221</v>
      </c>
      <c r="B146" s="9" t="s">
        <v>308</v>
      </c>
      <c r="C146" s="10" t="s">
        <v>309</v>
      </c>
      <c r="D146" s="11">
        <f t="shared" ref="D146:E146" si="146">IF(MOD(F146, 5) &lt;= 2.5, FLOOR(F146, 5), CEILING(F146, 5))</f>
        <v>810</v>
      </c>
      <c r="E146" s="11">
        <f t="shared" si="146"/>
        <v>1215</v>
      </c>
      <c r="F146" s="11">
        <f>IFERROR((VLOOKUP(B146, Roccia!$B$2:$D997, 3, FALSE)*(1+Datos!$E$1)), "Revisar")</f>
        <v>810.212</v>
      </c>
      <c r="G146" s="11">
        <f>IFERROR(F146*Datos!$B$3, "Revisar")</f>
        <v>1215.318</v>
      </c>
      <c r="H146" s="12">
        <f>IFERROR(G146*Datos!$B$1, "Revisar")</f>
        <v>701902.1712</v>
      </c>
      <c r="I146" s="13">
        <f>IFERROR((VLOOKUP(B146, Roccia!$B$2:$D997, 3, FALSE) /(1-Datos!$E$1)), "Revisar")</f>
        <v>890.3428571</v>
      </c>
      <c r="J146" s="13">
        <f>IFERROR(I146*Datos!$B$3, "Revisar")</f>
        <v>1335.514286</v>
      </c>
      <c r="K146" s="13">
        <f t="shared" si="3"/>
        <v>120.1962857</v>
      </c>
    </row>
    <row r="147">
      <c r="A147" s="8" t="s">
        <v>221</v>
      </c>
      <c r="B147" s="9" t="s">
        <v>310</v>
      </c>
      <c r="C147" s="10" t="s">
        <v>311</v>
      </c>
      <c r="D147" s="11">
        <f t="shared" ref="D147:E147" si="147">IF(MOD(F147, 5) &lt;= 2.5, FLOOR(F147, 5), CEILING(F147, 5))</f>
        <v>355</v>
      </c>
      <c r="E147" s="11">
        <f t="shared" si="147"/>
        <v>530</v>
      </c>
      <c r="F147" s="11">
        <f>IFERROR((VLOOKUP(B147, Roccia!$B$2:$D997, 3, FALSE)*(1+Datos!$E$1)), "Revisar")</f>
        <v>354.978</v>
      </c>
      <c r="G147" s="11">
        <f>IFERROR(F147*Datos!$B$3, "Revisar")</f>
        <v>532.467</v>
      </c>
      <c r="H147" s="12">
        <f>IFERROR(G147*Datos!$B$1, "Revisar")</f>
        <v>307524.2392</v>
      </c>
      <c r="I147" s="13">
        <f>IFERROR((VLOOKUP(B147, Roccia!$B$2:$D997, 3, FALSE) /(1-Datos!$E$1)), "Revisar")</f>
        <v>390.0857143</v>
      </c>
      <c r="J147" s="13">
        <f>IFERROR(I147*Datos!$B$3, "Revisar")</f>
        <v>585.1285714</v>
      </c>
      <c r="K147" s="13">
        <f t="shared" si="3"/>
        <v>52.66157143</v>
      </c>
    </row>
    <row r="148">
      <c r="A148" s="8" t="s">
        <v>221</v>
      </c>
      <c r="B148" s="9" t="s">
        <v>312</v>
      </c>
      <c r="C148" s="10" t="s">
        <v>313</v>
      </c>
      <c r="D148" s="11">
        <f t="shared" ref="D148:E148" si="148">IF(MOD(F148, 5) &lt;= 2.5, FLOOR(F148, 5), CEILING(F148, 5))</f>
        <v>20</v>
      </c>
      <c r="E148" s="11">
        <f t="shared" si="148"/>
        <v>30</v>
      </c>
      <c r="F148" s="11">
        <f>IFERROR((VLOOKUP(B148, Roccia!$B$2:$D997, 3, FALSE)*(1+Datos!$E$1)), "Revisar")</f>
        <v>19.383</v>
      </c>
      <c r="G148" s="11">
        <f>IFERROR(F148*Datos!$B$3, "Revisar")</f>
        <v>29.0745</v>
      </c>
      <c r="H148" s="12">
        <f>IFERROR(G148*Datos!$B$1, "Revisar")</f>
        <v>16791.86408</v>
      </c>
      <c r="I148" s="13">
        <f>IFERROR((VLOOKUP(B148, Roccia!$B$2:$D997, 3, FALSE) /(1-Datos!$E$1)), "Revisar")</f>
        <v>21.3</v>
      </c>
      <c r="J148" s="13">
        <f>IFERROR(I148*Datos!$B$3, "Revisar")</f>
        <v>31.95</v>
      </c>
      <c r="K148" s="13">
        <f t="shared" si="3"/>
        <v>2.8755</v>
      </c>
    </row>
    <row r="149">
      <c r="A149" s="8" t="s">
        <v>221</v>
      </c>
      <c r="B149" s="9" t="s">
        <v>314</v>
      </c>
      <c r="C149" s="10" t="s">
        <v>315</v>
      </c>
      <c r="D149" s="11">
        <f t="shared" ref="D149:E149" si="149">IF(MOD(F149, 5) &lt;= 2.5, FLOOR(F149, 5), CEILING(F149, 5))</f>
        <v>30</v>
      </c>
      <c r="E149" s="11">
        <f t="shared" si="149"/>
        <v>50</v>
      </c>
      <c r="F149" s="11">
        <f>IFERROR((VLOOKUP(B149, Roccia!$B$2:$D997, 3, FALSE)*(1+Datos!$E$1)), "Revisar")</f>
        <v>32.474</v>
      </c>
      <c r="G149" s="11">
        <f>IFERROR(F149*Datos!$B$3, "Revisar")</f>
        <v>48.711</v>
      </c>
      <c r="H149" s="12">
        <f>IFERROR(G149*Datos!$B$1, "Revisar")</f>
        <v>28132.84808</v>
      </c>
      <c r="I149" s="13">
        <f>IFERROR((VLOOKUP(B149, Roccia!$B$2:$D997, 3, FALSE) /(1-Datos!$E$1)), "Revisar")</f>
        <v>35.68571429</v>
      </c>
      <c r="J149" s="13">
        <f>IFERROR(I149*Datos!$B$3, "Revisar")</f>
        <v>53.52857143</v>
      </c>
      <c r="K149" s="13">
        <f t="shared" si="3"/>
        <v>4.817571429</v>
      </c>
    </row>
    <row r="150">
      <c r="A150" s="8" t="s">
        <v>221</v>
      </c>
      <c r="B150" s="9" t="s">
        <v>316</v>
      </c>
      <c r="C150" s="10" t="s">
        <v>317</v>
      </c>
      <c r="D150" s="11">
        <f t="shared" ref="D150:E150" si="150">IF(MOD(F150, 5) &lt;= 2.5, FLOOR(F150, 5), CEILING(F150, 5))</f>
        <v>960</v>
      </c>
      <c r="E150" s="11">
        <f t="shared" si="150"/>
        <v>1440</v>
      </c>
      <c r="F150" s="11">
        <f>IFERROR((VLOOKUP(B150, Roccia!$B$2:$D997, 3, FALSE)*(1+Datos!$E$1)), "Revisar")</f>
        <v>959.686</v>
      </c>
      <c r="G150" s="11">
        <f>IFERROR(F150*Datos!$B$3, "Revisar")</f>
        <v>1439.529</v>
      </c>
      <c r="H150" s="12">
        <f>IFERROR(G150*Datos!$B$1, "Revisar")</f>
        <v>831394.3598</v>
      </c>
      <c r="I150" s="13">
        <f>IFERROR((VLOOKUP(B150, Roccia!$B$2:$D997, 3, FALSE) /(1-Datos!$E$1)), "Revisar")</f>
        <v>1054.6</v>
      </c>
      <c r="J150" s="13">
        <f>IFERROR(I150*Datos!$B$3, "Revisar")</f>
        <v>1581.9</v>
      </c>
      <c r="K150" s="13">
        <f t="shared" si="3"/>
        <v>142.371</v>
      </c>
    </row>
    <row r="151">
      <c r="A151" s="8" t="s">
        <v>221</v>
      </c>
      <c r="B151" s="9" t="s">
        <v>318</v>
      </c>
      <c r="C151" s="10" t="s">
        <v>319</v>
      </c>
      <c r="D151" s="11">
        <f t="shared" ref="D151:E151" si="151">IF(MOD(F151, 5) &lt;= 2.5, FLOOR(F151, 5), CEILING(F151, 5))</f>
        <v>1405</v>
      </c>
      <c r="E151" s="11">
        <f t="shared" si="151"/>
        <v>2110</v>
      </c>
      <c r="F151" s="11">
        <f>IFERROR((VLOOKUP(B151, Roccia!$B$2:$D997, 3, FALSE)*(1+Datos!$E$1)), "Revisar")</f>
        <v>1407.094</v>
      </c>
      <c r="G151" s="11">
        <f>IFERROR(F151*Datos!$B$3, "Revisar")</f>
        <v>2110.641</v>
      </c>
      <c r="H151" s="12">
        <f>IFERROR(G151*Datos!$B$1, "Revisar")</f>
        <v>1218992.478</v>
      </c>
      <c r="I151" s="13">
        <f>IFERROR((VLOOKUP(B151, Roccia!$B$2:$D997, 3, FALSE) /(1-Datos!$E$1)), "Revisar")</f>
        <v>1546.257143</v>
      </c>
      <c r="J151" s="13">
        <f>IFERROR(I151*Datos!$B$3, "Revisar")</f>
        <v>2319.385714</v>
      </c>
      <c r="K151" s="13">
        <f t="shared" si="3"/>
        <v>208.7447143</v>
      </c>
    </row>
    <row r="152">
      <c r="A152" s="8" t="s">
        <v>221</v>
      </c>
      <c r="B152" s="9" t="s">
        <v>320</v>
      </c>
      <c r="C152" s="10" t="s">
        <v>321</v>
      </c>
      <c r="D152" s="11">
        <f t="shared" ref="D152:E152" si="152">IF(MOD(F152, 5) &lt;= 2.5, FLOOR(F152, 5), CEILING(F152, 5))</f>
        <v>65</v>
      </c>
      <c r="E152" s="11">
        <f t="shared" si="152"/>
        <v>100</v>
      </c>
      <c r="F152" s="11">
        <f>IFERROR((VLOOKUP(B152, Roccia!$B$2:$D997, 3, FALSE)*(1+Datos!$E$1)), "Revisar")</f>
        <v>65.117</v>
      </c>
      <c r="G152" s="11">
        <f>IFERROR(F152*Datos!$B$3, "Revisar")</f>
        <v>97.6755</v>
      </c>
      <c r="H152" s="12">
        <f>IFERROR(G152*Datos!$B$1, "Revisar")</f>
        <v>56412.10409</v>
      </c>
      <c r="I152" s="13">
        <f>IFERROR((VLOOKUP(B152, Roccia!$B$2:$D997, 3, FALSE) /(1-Datos!$E$1)), "Revisar")</f>
        <v>71.55714286</v>
      </c>
      <c r="J152" s="13">
        <f>IFERROR(I152*Datos!$B$3, "Revisar")</f>
        <v>107.3357143</v>
      </c>
      <c r="K152" s="13">
        <f t="shared" si="3"/>
        <v>9.660214286</v>
      </c>
    </row>
    <row r="153">
      <c r="A153" s="8" t="s">
        <v>221</v>
      </c>
      <c r="B153" s="9" t="s">
        <v>322</v>
      </c>
      <c r="C153" s="10" t="s">
        <v>323</v>
      </c>
      <c r="D153" s="11">
        <f t="shared" ref="D153:E153" si="153">IF(MOD(F153, 5) &lt;= 2.5, FLOOR(F153, 5), CEILING(F153, 5))</f>
        <v>120</v>
      </c>
      <c r="E153" s="11">
        <f t="shared" si="153"/>
        <v>180</v>
      </c>
      <c r="F153" s="11">
        <f>IFERROR((VLOOKUP(B153, Roccia!$B$2:$D997, 3, FALSE)*(1+Datos!$E$1)), "Revisar")</f>
        <v>120.705</v>
      </c>
      <c r="G153" s="11">
        <f>IFERROR(F153*Datos!$B$3, "Revisar")</f>
        <v>181.0575</v>
      </c>
      <c r="H153" s="12">
        <f>IFERROR(G153*Datos!$B$1, "Revisar")</f>
        <v>104569.053</v>
      </c>
      <c r="I153" s="13">
        <f>IFERROR((VLOOKUP(B153, Roccia!$B$2:$D997, 3, FALSE) /(1-Datos!$E$1)), "Revisar")</f>
        <v>132.6428571</v>
      </c>
      <c r="J153" s="13">
        <f>IFERROR(I153*Datos!$B$3, "Revisar")</f>
        <v>198.9642857</v>
      </c>
      <c r="K153" s="13">
        <f t="shared" si="3"/>
        <v>17.90678571</v>
      </c>
    </row>
    <row r="154">
      <c r="A154" s="8" t="s">
        <v>221</v>
      </c>
      <c r="B154" s="9" t="s">
        <v>324</v>
      </c>
      <c r="C154" s="10" t="s">
        <v>325</v>
      </c>
      <c r="D154" s="11">
        <f t="shared" ref="D154:E154" si="154">IF(MOD(F154, 5) &lt;= 2.5, FLOOR(F154, 5), CEILING(F154, 5))</f>
        <v>165</v>
      </c>
      <c r="E154" s="11">
        <f t="shared" si="154"/>
        <v>245</v>
      </c>
      <c r="F154" s="11">
        <f>IFERROR((VLOOKUP(B154, Roccia!$B$2:$D997, 3, FALSE)*(1+Datos!$E$1)), "Revisar")</f>
        <v>164.775</v>
      </c>
      <c r="G154" s="11">
        <f>IFERROR(F154*Datos!$B$3, "Revisar")</f>
        <v>247.1625</v>
      </c>
      <c r="H154" s="12">
        <f>IFERROR(G154*Datos!$B$1, "Revisar")</f>
        <v>142747.7379</v>
      </c>
      <c r="I154" s="13">
        <f>IFERROR((VLOOKUP(B154, Roccia!$B$2:$D997, 3, FALSE) /(1-Datos!$E$1)), "Revisar")</f>
        <v>181.0714286</v>
      </c>
      <c r="J154" s="13">
        <f>IFERROR(I154*Datos!$B$3, "Revisar")</f>
        <v>271.6071429</v>
      </c>
      <c r="K154" s="13">
        <f t="shared" si="3"/>
        <v>24.44464286</v>
      </c>
    </row>
    <row r="155">
      <c r="A155" s="8" t="s">
        <v>221</v>
      </c>
      <c r="B155" s="9" t="s">
        <v>326</v>
      </c>
      <c r="C155" s="10" t="s">
        <v>327</v>
      </c>
      <c r="D155" s="11">
        <f t="shared" ref="D155:E155" si="155">IF(MOD(F155, 5) &lt;= 2.5, FLOOR(F155, 5), CEILING(F155, 5))</f>
        <v>35</v>
      </c>
      <c r="E155" s="11">
        <f t="shared" si="155"/>
        <v>55</v>
      </c>
      <c r="F155" s="11">
        <f>IFERROR((VLOOKUP(B155, Roccia!$B$2:$D997, 3, FALSE)*(1+Datos!$E$1)), "Revisar")</f>
        <v>36.01</v>
      </c>
      <c r="G155" s="11">
        <f>IFERROR(F155*Datos!$B$3, "Revisar")</f>
        <v>54.015</v>
      </c>
      <c r="H155" s="12">
        <f>IFERROR(G155*Datos!$B$1, "Revisar")</f>
        <v>31196.15259</v>
      </c>
      <c r="I155" s="13">
        <f>IFERROR((VLOOKUP(B155, Roccia!$B$2:$D997, 3, FALSE) /(1-Datos!$E$1)), "Revisar")</f>
        <v>39.57142857</v>
      </c>
      <c r="J155" s="13">
        <f>IFERROR(I155*Datos!$B$3, "Revisar")</f>
        <v>59.35714286</v>
      </c>
      <c r="K155" s="13">
        <f t="shared" si="3"/>
        <v>5.342142857</v>
      </c>
    </row>
    <row r="156">
      <c r="A156" s="8" t="s">
        <v>221</v>
      </c>
      <c r="B156" s="9" t="s">
        <v>328</v>
      </c>
      <c r="C156" s="10" t="s">
        <v>329</v>
      </c>
      <c r="D156" s="11">
        <f t="shared" ref="D156:E156" si="156">IF(MOD(F156, 5) &lt;= 2.5, FLOOR(F156, 5), CEILING(F156, 5))</f>
        <v>75</v>
      </c>
      <c r="E156" s="11">
        <f t="shared" si="156"/>
        <v>110</v>
      </c>
      <c r="F156" s="11">
        <f>IFERROR((VLOOKUP(B156, Roccia!$B$2:$D997, 3, FALSE)*(1+Datos!$E$1)), "Revisar")</f>
        <v>73.008</v>
      </c>
      <c r="G156" s="11">
        <f>IFERROR(F156*Datos!$B$3, "Revisar")</f>
        <v>109.512</v>
      </c>
      <c r="H156" s="12">
        <f>IFERROR(G156*Datos!$B$1, "Revisar")</f>
        <v>63248.2285</v>
      </c>
      <c r="I156" s="13">
        <f>IFERROR((VLOOKUP(B156, Roccia!$B$2:$D997, 3, FALSE) /(1-Datos!$E$1)), "Revisar")</f>
        <v>80.22857143</v>
      </c>
      <c r="J156" s="13">
        <f>IFERROR(I156*Datos!$B$3, "Revisar")</f>
        <v>120.3428571</v>
      </c>
      <c r="K156" s="13">
        <f t="shared" si="3"/>
        <v>10.83085714</v>
      </c>
    </row>
    <row r="157">
      <c r="A157" s="8" t="s">
        <v>221</v>
      </c>
      <c r="B157" s="9" t="s">
        <v>330</v>
      </c>
      <c r="C157" s="10" t="s">
        <v>331</v>
      </c>
      <c r="D157" s="11">
        <f t="shared" ref="D157:E157" si="157">IF(MOD(F157, 5) &lt;= 2.5, FLOOR(F157, 5), CEILING(F157, 5))</f>
        <v>20</v>
      </c>
      <c r="E157" s="11">
        <f t="shared" si="157"/>
        <v>30</v>
      </c>
      <c r="F157" s="11">
        <f>IFERROR((VLOOKUP(B157, Roccia!$B$2:$D997, 3, FALSE)*(1+Datos!$E$1)), "Revisar")</f>
        <v>20.592</v>
      </c>
      <c r="G157" s="11">
        <f>IFERROR(F157*Datos!$B$3, "Revisar")</f>
        <v>30.888</v>
      </c>
      <c r="H157" s="12">
        <f>IFERROR(G157*Datos!$B$1, "Revisar")</f>
        <v>17839.24394</v>
      </c>
      <c r="I157" s="13">
        <f>IFERROR((VLOOKUP(B157, Roccia!$B$2:$D997, 3, FALSE) /(1-Datos!$E$1)), "Revisar")</f>
        <v>22.62857143</v>
      </c>
      <c r="J157" s="13">
        <f>IFERROR(I157*Datos!$B$3, "Revisar")</f>
        <v>33.94285714</v>
      </c>
      <c r="K157" s="13">
        <f t="shared" si="3"/>
        <v>3.054857143</v>
      </c>
    </row>
    <row r="158">
      <c r="A158" s="8" t="s">
        <v>221</v>
      </c>
      <c r="B158" s="9" t="s">
        <v>332</v>
      </c>
      <c r="C158" s="10" t="s">
        <v>333</v>
      </c>
      <c r="D158" s="11">
        <f t="shared" ref="D158:E158" si="158">IF(MOD(F158, 5) &lt;= 2.5, FLOOR(F158, 5), CEILING(F158, 5))</f>
        <v>155</v>
      </c>
      <c r="E158" s="11">
        <f t="shared" si="158"/>
        <v>235</v>
      </c>
      <c r="F158" s="11">
        <f>IFERROR((VLOOKUP(B158, Roccia!$B$2:$D997, 3, FALSE)*(1+Datos!$E$1)), "Revisar")</f>
        <v>156.195</v>
      </c>
      <c r="G158" s="11">
        <f>IFERROR(F158*Datos!$B$3, "Revisar")</f>
        <v>234.2925</v>
      </c>
      <c r="H158" s="12">
        <f>IFERROR(G158*Datos!$B$1, "Revisar")</f>
        <v>135314.7196</v>
      </c>
      <c r="I158" s="13">
        <f>IFERROR((VLOOKUP(B158, Roccia!$B$2:$D997, 3, FALSE) /(1-Datos!$E$1)), "Revisar")</f>
        <v>171.6428571</v>
      </c>
      <c r="J158" s="13">
        <f>IFERROR(I158*Datos!$B$3, "Revisar")</f>
        <v>257.4642857</v>
      </c>
      <c r="K158" s="13">
        <f t="shared" si="3"/>
        <v>23.17178571</v>
      </c>
    </row>
    <row r="159">
      <c r="A159" s="8" t="s">
        <v>221</v>
      </c>
      <c r="B159" s="9" t="s">
        <v>334</v>
      </c>
      <c r="C159" s="10" t="s">
        <v>335</v>
      </c>
      <c r="D159" s="11">
        <f t="shared" ref="D159:E159" si="159">IF(MOD(F159, 5) &lt;= 2.5, FLOOR(F159, 5), CEILING(F159, 5))</f>
        <v>255</v>
      </c>
      <c r="E159" s="11">
        <f t="shared" si="159"/>
        <v>385</v>
      </c>
      <c r="F159" s="11">
        <f>IFERROR((VLOOKUP(B159, Roccia!$B$2:$D997, 3, FALSE)*(1+Datos!$E$1)), "Revisar")</f>
        <v>255.164</v>
      </c>
      <c r="G159" s="11">
        <f>IFERROR(F159*Datos!$B$3, "Revisar")</f>
        <v>382.746</v>
      </c>
      <c r="H159" s="12">
        <f>IFERROR(G159*Datos!$B$1, "Revisar")</f>
        <v>221053.4596</v>
      </c>
      <c r="I159" s="13">
        <f>IFERROR((VLOOKUP(B159, Roccia!$B$2:$D997, 3, FALSE) /(1-Datos!$E$1)), "Revisar")</f>
        <v>280.4</v>
      </c>
      <c r="J159" s="13">
        <f>IFERROR(I159*Datos!$B$3, "Revisar")</f>
        <v>420.6</v>
      </c>
      <c r="K159" s="13">
        <f t="shared" si="3"/>
        <v>37.854</v>
      </c>
    </row>
    <row r="160">
      <c r="A160" s="8" t="s">
        <v>221</v>
      </c>
      <c r="B160" s="9" t="s">
        <v>336</v>
      </c>
      <c r="C160" s="10" t="s">
        <v>337</v>
      </c>
      <c r="D160" s="11">
        <f t="shared" ref="D160:E160" si="160">IF(MOD(F160, 5) &lt;= 2.5, FLOOR(F160, 5), CEILING(F160, 5))</f>
        <v>285</v>
      </c>
      <c r="E160" s="11">
        <f t="shared" si="160"/>
        <v>425</v>
      </c>
      <c r="F160" s="11">
        <f>IFERROR((VLOOKUP(B160, Roccia!$B$2:$D997, 3, FALSE)*(1+Datos!$E$1)), "Revisar")</f>
        <v>284.167</v>
      </c>
      <c r="G160" s="11">
        <f>IFERROR(F160*Datos!$B$3, "Revisar")</f>
        <v>426.2505</v>
      </c>
      <c r="H160" s="12">
        <f>IFERROR(G160*Datos!$B$1, "Revisar")</f>
        <v>246179.3139</v>
      </c>
      <c r="I160" s="13">
        <f>IFERROR((VLOOKUP(B160, Roccia!$B$2:$D997, 3, FALSE) /(1-Datos!$E$1)), "Revisar")</f>
        <v>312.2714286</v>
      </c>
      <c r="J160" s="13">
        <f>IFERROR(I160*Datos!$B$3, "Revisar")</f>
        <v>468.4071429</v>
      </c>
      <c r="K160" s="13">
        <f t="shared" si="3"/>
        <v>42.15664286</v>
      </c>
    </row>
    <row r="161">
      <c r="A161" s="8" t="s">
        <v>221</v>
      </c>
      <c r="B161" s="9" t="s">
        <v>338</v>
      </c>
      <c r="C161" s="10" t="s">
        <v>339</v>
      </c>
      <c r="D161" s="11">
        <f t="shared" ref="D161:E161" si="161">IF(MOD(F161, 5) &lt;= 2.5, FLOOR(F161, 5), CEILING(F161, 5))</f>
        <v>215</v>
      </c>
      <c r="E161" s="11">
        <f t="shared" si="161"/>
        <v>325</v>
      </c>
      <c r="F161" s="11">
        <f>IFERROR((VLOOKUP(B161, Roccia!$B$2:$D997, 3, FALSE)*(1+Datos!$E$1)), "Revisar")</f>
        <v>216.021</v>
      </c>
      <c r="G161" s="11">
        <f>IFERROR(F161*Datos!$B$3, "Revisar")</f>
        <v>324.0315</v>
      </c>
      <c r="H161" s="12">
        <f>IFERROR(G161*Datos!$B$1, "Revisar")</f>
        <v>187143.1291</v>
      </c>
      <c r="I161" s="13">
        <f>IFERROR((VLOOKUP(B161, Roccia!$B$2:$D997, 3, FALSE) /(1-Datos!$E$1)), "Revisar")</f>
        <v>237.3857143</v>
      </c>
      <c r="J161" s="13">
        <f>IFERROR(I161*Datos!$B$3, "Revisar")</f>
        <v>356.0785714</v>
      </c>
      <c r="K161" s="13">
        <f t="shared" si="3"/>
        <v>32.04707143</v>
      </c>
    </row>
    <row r="162">
      <c r="A162" s="8" t="s">
        <v>221</v>
      </c>
      <c r="B162" s="9" t="s">
        <v>340</v>
      </c>
      <c r="C162" s="10" t="s">
        <v>341</v>
      </c>
      <c r="D162" s="11">
        <f t="shared" ref="D162:E162" si="162">IF(MOD(F162, 5) &lt;= 2.5, FLOOR(F162, 5), CEILING(F162, 5))</f>
        <v>385</v>
      </c>
      <c r="E162" s="11">
        <f t="shared" si="162"/>
        <v>580</v>
      </c>
      <c r="F162" s="11">
        <f>IFERROR((VLOOKUP(B162, Roccia!$B$2:$D997, 3, FALSE)*(1+Datos!$E$1)), "Revisar")</f>
        <v>385.463</v>
      </c>
      <c r="G162" s="11">
        <f>IFERROR(F162*Datos!$B$3, "Revisar")</f>
        <v>578.1945</v>
      </c>
      <c r="H162" s="12">
        <f>IFERROR(G162*Datos!$B$1, "Revisar")</f>
        <v>333933.9785</v>
      </c>
      <c r="I162" s="13">
        <f>IFERROR((VLOOKUP(B162, Roccia!$B$2:$D997, 3, FALSE) /(1-Datos!$E$1)), "Revisar")</f>
        <v>423.5857143</v>
      </c>
      <c r="J162" s="13">
        <f>IFERROR(I162*Datos!$B$3, "Revisar")</f>
        <v>635.3785714</v>
      </c>
      <c r="K162" s="13">
        <f t="shared" si="3"/>
        <v>57.18407143</v>
      </c>
    </row>
    <row r="163">
      <c r="A163" s="8" t="s">
        <v>221</v>
      </c>
      <c r="B163" s="9" t="s">
        <v>342</v>
      </c>
      <c r="C163" s="10" t="s">
        <v>343</v>
      </c>
      <c r="D163" s="11">
        <f t="shared" ref="D163:E163" si="163">IF(MOD(F163, 5) &lt;= 2.5, FLOOR(F163, 5), CEILING(F163, 5))</f>
        <v>35</v>
      </c>
      <c r="E163" s="11">
        <f t="shared" si="163"/>
        <v>55</v>
      </c>
      <c r="F163" s="11">
        <f>IFERROR((VLOOKUP(B163, Roccia!$B$2:$D997, 3, FALSE)*(1+Datos!$E$1)), "Revisar")</f>
        <v>36.53</v>
      </c>
      <c r="G163" s="11">
        <f>IFERROR(F163*Datos!$B$3, "Revisar")</f>
        <v>54.795</v>
      </c>
      <c r="H163" s="12">
        <f>IFERROR(G163*Datos!$B$1, "Revisar")</f>
        <v>31646.63855</v>
      </c>
      <c r="I163" s="13">
        <f>IFERROR((VLOOKUP(B163, Roccia!$B$2:$D997, 3, FALSE) /(1-Datos!$E$1)), "Revisar")</f>
        <v>40.14285714</v>
      </c>
      <c r="J163" s="13">
        <f>IFERROR(I163*Datos!$B$3, "Revisar")</f>
        <v>60.21428571</v>
      </c>
      <c r="K163" s="13">
        <f t="shared" si="3"/>
        <v>5.419285714</v>
      </c>
    </row>
    <row r="164">
      <c r="A164" s="8" t="s">
        <v>221</v>
      </c>
      <c r="B164" s="9" t="s">
        <v>344</v>
      </c>
      <c r="C164" s="10" t="s">
        <v>345</v>
      </c>
      <c r="D164" s="11">
        <f t="shared" ref="D164:E164" si="164">IF(MOD(F164, 5) &lt;= 2.5, FLOOR(F164, 5), CEILING(F164, 5))</f>
        <v>50</v>
      </c>
      <c r="E164" s="11">
        <f t="shared" si="164"/>
        <v>80</v>
      </c>
      <c r="F164" s="11">
        <f>IFERROR((VLOOKUP(B164, Roccia!$B$2:$D997, 3, FALSE)*(1+Datos!$E$1)), "Revisar")</f>
        <v>51.688</v>
      </c>
      <c r="G164" s="11">
        <f>IFERROR(F164*Datos!$B$3, "Revisar")</f>
        <v>77.532</v>
      </c>
      <c r="H164" s="12">
        <f>IFERROR(G164*Datos!$B$1, "Revisar")</f>
        <v>44778.30423</v>
      </c>
      <c r="I164" s="13">
        <f>IFERROR((VLOOKUP(B164, Roccia!$B$2:$D997, 3, FALSE) /(1-Datos!$E$1)), "Revisar")</f>
        <v>56.8</v>
      </c>
      <c r="J164" s="13">
        <f>IFERROR(I164*Datos!$B$3, "Revisar")</f>
        <v>85.2</v>
      </c>
      <c r="K164" s="13">
        <f t="shared" si="3"/>
        <v>7.668</v>
      </c>
    </row>
    <row r="165">
      <c r="A165" s="8" t="s">
        <v>221</v>
      </c>
      <c r="B165" s="9" t="s">
        <v>346</v>
      </c>
      <c r="C165" s="10" t="s">
        <v>347</v>
      </c>
      <c r="D165" s="11">
        <f t="shared" ref="D165:E165" si="165">IF(MOD(F165, 5) &lt;= 2.5, FLOOR(F165, 5), CEILING(F165, 5))</f>
        <v>65</v>
      </c>
      <c r="E165" s="11">
        <f t="shared" si="165"/>
        <v>95</v>
      </c>
      <c r="F165" s="11">
        <f>IFERROR((VLOOKUP(B165, Roccia!$B$2:$D997, 3, FALSE)*(1+Datos!$E$1)), "Revisar")</f>
        <v>63.96</v>
      </c>
      <c r="G165" s="11">
        <f>IFERROR(F165*Datos!$B$3, "Revisar")</f>
        <v>95.94</v>
      </c>
      <c r="H165" s="12">
        <f>IFERROR(G165*Datos!$B$1, "Revisar")</f>
        <v>55409.77283</v>
      </c>
      <c r="I165" s="13">
        <f>IFERROR((VLOOKUP(B165, Roccia!$B$2:$D997, 3, FALSE) /(1-Datos!$E$1)), "Revisar")</f>
        <v>70.28571429</v>
      </c>
      <c r="J165" s="13">
        <f>IFERROR(I165*Datos!$B$3, "Revisar")</f>
        <v>105.4285714</v>
      </c>
      <c r="K165" s="13">
        <f t="shared" si="3"/>
        <v>9.488571429</v>
      </c>
    </row>
    <row r="166">
      <c r="A166" s="8" t="s">
        <v>221</v>
      </c>
      <c r="B166" s="9" t="s">
        <v>348</v>
      </c>
      <c r="C166" s="10" t="s">
        <v>349</v>
      </c>
      <c r="D166" s="11">
        <f t="shared" ref="D166:E166" si="166">IF(MOD(F166, 5) &lt;= 2.5, FLOOR(F166, 5), CEILING(F166, 5))</f>
        <v>15</v>
      </c>
      <c r="E166" s="11">
        <f t="shared" si="166"/>
        <v>20</v>
      </c>
      <c r="F166" s="11">
        <f>IFERROR((VLOOKUP(B166, Roccia!$B$2:$D997, 3, FALSE)*(1+Datos!$E$1)), "Revisar")</f>
        <v>12.571</v>
      </c>
      <c r="G166" s="11">
        <f>IFERROR(F166*Datos!$B$3, "Revisar")</f>
        <v>18.8565</v>
      </c>
      <c r="H166" s="12">
        <f>IFERROR(G166*Datos!$B$1, "Revisar")</f>
        <v>10890.49803</v>
      </c>
      <c r="I166" s="13">
        <f>IFERROR((VLOOKUP(B166, Roccia!$B$2:$D997, 3, FALSE) /(1-Datos!$E$1)), "Revisar")</f>
        <v>13.81428571</v>
      </c>
      <c r="J166" s="13">
        <f>IFERROR(I166*Datos!$B$3, "Revisar")</f>
        <v>20.72142857</v>
      </c>
      <c r="K166" s="13">
        <f t="shared" si="3"/>
        <v>1.864928571</v>
      </c>
    </row>
    <row r="167">
      <c r="A167" s="8" t="s">
        <v>221</v>
      </c>
      <c r="B167" s="9" t="s">
        <v>350</v>
      </c>
      <c r="C167" s="10" t="s">
        <v>351</v>
      </c>
      <c r="D167" s="11">
        <f t="shared" ref="D167:E167" si="167">IF(MOD(F167, 5) &lt;= 2.5, FLOOR(F167, 5), CEILING(F167, 5))</f>
        <v>20</v>
      </c>
      <c r="E167" s="11">
        <f t="shared" si="167"/>
        <v>35</v>
      </c>
      <c r="F167" s="11">
        <f>IFERROR((VLOOKUP(B167, Roccia!$B$2:$D997, 3, FALSE)*(1+Datos!$E$1)), "Revisar")</f>
        <v>22.451</v>
      </c>
      <c r="G167" s="11">
        <f>IFERROR(F167*Datos!$B$3, "Revisar")</f>
        <v>33.6765</v>
      </c>
      <c r="H167" s="12">
        <f>IFERROR(G167*Datos!$B$1, "Revisar")</f>
        <v>19449.73124</v>
      </c>
      <c r="I167" s="13">
        <f>IFERROR((VLOOKUP(B167, Roccia!$B$2:$D997, 3, FALSE) /(1-Datos!$E$1)), "Revisar")</f>
        <v>24.67142857</v>
      </c>
      <c r="J167" s="13">
        <f>IFERROR(I167*Datos!$B$3, "Revisar")</f>
        <v>37.00714286</v>
      </c>
      <c r="K167" s="13">
        <f t="shared" si="3"/>
        <v>3.330642857</v>
      </c>
    </row>
    <row r="168">
      <c r="A168" s="8" t="s">
        <v>221</v>
      </c>
      <c r="B168" s="9" t="s">
        <v>352</v>
      </c>
      <c r="C168" s="10" t="s">
        <v>353</v>
      </c>
      <c r="D168" s="11">
        <f t="shared" ref="D168:E168" si="168">IF(MOD(F168, 5) &lt;= 2.5, FLOOR(F168, 5), CEILING(F168, 5))</f>
        <v>40</v>
      </c>
      <c r="E168" s="11">
        <f t="shared" si="168"/>
        <v>55</v>
      </c>
      <c r="F168" s="11">
        <f>IFERROR((VLOOKUP(B168, Roccia!$B$2:$D997, 3, FALSE)*(1+Datos!$E$1)), "Revisar")</f>
        <v>38.194</v>
      </c>
      <c r="G168" s="11">
        <f>IFERROR(F168*Datos!$B$3, "Revisar")</f>
        <v>57.291</v>
      </c>
      <c r="H168" s="12">
        <f>IFERROR(G168*Datos!$B$1, "Revisar")</f>
        <v>33088.19362</v>
      </c>
      <c r="I168" s="13">
        <f>IFERROR((VLOOKUP(B168, Roccia!$B$2:$D997, 3, FALSE) /(1-Datos!$E$1)), "Revisar")</f>
        <v>41.97142857</v>
      </c>
      <c r="J168" s="13">
        <f>IFERROR(I168*Datos!$B$3, "Revisar")</f>
        <v>62.95714286</v>
      </c>
      <c r="K168" s="13">
        <f t="shared" si="3"/>
        <v>5.666142857</v>
      </c>
    </row>
    <row r="169">
      <c r="A169" s="8" t="s">
        <v>221</v>
      </c>
      <c r="B169" s="9" t="s">
        <v>354</v>
      </c>
      <c r="C169" s="10" t="s">
        <v>355</v>
      </c>
      <c r="D169" s="11">
        <f t="shared" ref="D169:E169" si="169">IF(MOD(F169, 5) &lt;= 2.5, FLOOR(F169, 5), CEILING(F169, 5))</f>
        <v>15</v>
      </c>
      <c r="E169" s="11">
        <f t="shared" si="169"/>
        <v>25</v>
      </c>
      <c r="F169" s="11">
        <f>IFERROR((VLOOKUP(B169, Roccia!$B$2:$D997, 3, FALSE)*(1+Datos!$E$1)), "Revisar")</f>
        <v>17.004</v>
      </c>
      <c r="G169" s="11">
        <f>IFERROR(F169*Datos!$B$3, "Revisar")</f>
        <v>25.506</v>
      </c>
      <c r="H169" s="12">
        <f>IFERROR(G169*Datos!$B$1, "Revisar")</f>
        <v>14730.89083</v>
      </c>
      <c r="I169" s="13">
        <f>IFERROR((VLOOKUP(B169, Roccia!$B$2:$D997, 3, FALSE) /(1-Datos!$E$1)), "Revisar")</f>
        <v>18.68571429</v>
      </c>
      <c r="J169" s="13">
        <f>IFERROR(I169*Datos!$B$3, "Revisar")</f>
        <v>28.02857143</v>
      </c>
      <c r="K169" s="13">
        <f t="shared" si="3"/>
        <v>2.522571429</v>
      </c>
    </row>
    <row r="170">
      <c r="A170" s="8" t="s">
        <v>221</v>
      </c>
      <c r="B170" s="9" t="s">
        <v>356</v>
      </c>
      <c r="C170" s="10" t="s">
        <v>357</v>
      </c>
      <c r="D170" s="11">
        <f t="shared" ref="D170:E170" si="170">IF(MOD(F170, 5) &lt;= 2.5, FLOOR(F170, 5), CEILING(F170, 5))</f>
        <v>40</v>
      </c>
      <c r="E170" s="11">
        <f t="shared" si="170"/>
        <v>60</v>
      </c>
      <c r="F170" s="11">
        <f>IFERROR((VLOOKUP(B170, Roccia!$B$2:$D997, 3, FALSE)*(1+Datos!$E$1)), "Revisar")</f>
        <v>41.314</v>
      </c>
      <c r="G170" s="11">
        <f>IFERROR(F170*Datos!$B$3, "Revisar")</f>
        <v>61.971</v>
      </c>
      <c r="H170" s="12">
        <f>IFERROR(G170*Datos!$B$1, "Revisar")</f>
        <v>35791.10936</v>
      </c>
      <c r="I170" s="13">
        <f>IFERROR((VLOOKUP(B170, Roccia!$B$2:$D997, 3, FALSE) /(1-Datos!$E$1)), "Revisar")</f>
        <v>45.4</v>
      </c>
      <c r="J170" s="13">
        <f>IFERROR(I170*Datos!$B$3, "Revisar")</f>
        <v>68.1</v>
      </c>
      <c r="K170" s="13">
        <f t="shared" si="3"/>
        <v>6.129</v>
      </c>
    </row>
    <row r="171">
      <c r="A171" s="8" t="s">
        <v>221</v>
      </c>
      <c r="B171" s="9" t="s">
        <v>358</v>
      </c>
      <c r="C171" s="10" t="s">
        <v>359</v>
      </c>
      <c r="D171" s="11">
        <f t="shared" ref="D171:E171" si="171">IF(MOD(F171, 5) &lt;= 2.5, FLOOR(F171, 5), CEILING(F171, 5))</f>
        <v>720</v>
      </c>
      <c r="E171" s="11">
        <f t="shared" si="171"/>
        <v>1080</v>
      </c>
      <c r="F171" s="11">
        <f>IFERROR((VLOOKUP(B171, Roccia!$B$2:$D997, 3, FALSE)*(1+Datos!$E$1)), "Revisar")</f>
        <v>720.538</v>
      </c>
      <c r="G171" s="11">
        <f>IFERROR(F171*Datos!$B$3, "Revisar")</f>
        <v>1080.807</v>
      </c>
      <c r="H171" s="12">
        <f>IFERROR(G171*Datos!$B$1, "Revisar")</f>
        <v>624215.8677</v>
      </c>
      <c r="I171" s="13">
        <f>IFERROR((VLOOKUP(B171, Roccia!$B$2:$D997, 3, FALSE) /(1-Datos!$E$1)), "Revisar")</f>
        <v>791.8</v>
      </c>
      <c r="J171" s="13">
        <f>IFERROR(I171*Datos!$B$3, "Revisar")</f>
        <v>1187.7</v>
      </c>
      <c r="K171" s="13">
        <f t="shared" si="3"/>
        <v>106.893</v>
      </c>
    </row>
    <row r="172">
      <c r="A172" s="8" t="s">
        <v>221</v>
      </c>
      <c r="B172" s="9" t="s">
        <v>360</v>
      </c>
      <c r="C172" s="10" t="s">
        <v>361</v>
      </c>
      <c r="D172" s="11">
        <f t="shared" ref="D172:E172" si="172">IF(MOD(F172, 5) &lt;= 2.5, FLOOR(F172, 5), CEILING(F172, 5))</f>
        <v>20</v>
      </c>
      <c r="E172" s="11">
        <f t="shared" si="172"/>
        <v>35</v>
      </c>
      <c r="F172" s="11">
        <f>IFERROR((VLOOKUP(B172, Roccia!$B$2:$D997, 3, FALSE)*(1+Datos!$E$1)), "Revisar")</f>
        <v>21.853</v>
      </c>
      <c r="G172" s="11">
        <f>IFERROR(F172*Datos!$B$3, "Revisar")</f>
        <v>32.7795</v>
      </c>
      <c r="H172" s="12">
        <f>IFERROR(G172*Datos!$B$1, "Revisar")</f>
        <v>18931.67238</v>
      </c>
      <c r="I172" s="13">
        <f>IFERROR((VLOOKUP(B172, Roccia!$B$2:$D997, 3, FALSE) /(1-Datos!$E$1)), "Revisar")</f>
        <v>24.01428571</v>
      </c>
      <c r="J172" s="13">
        <f>IFERROR(I172*Datos!$B$3, "Revisar")</f>
        <v>36.02142857</v>
      </c>
      <c r="K172" s="13">
        <f t="shared" si="3"/>
        <v>3.241928571</v>
      </c>
    </row>
    <row r="173">
      <c r="A173" s="8" t="s">
        <v>221</v>
      </c>
      <c r="B173" s="9" t="s">
        <v>362</v>
      </c>
      <c r="C173" s="10" t="s">
        <v>363</v>
      </c>
      <c r="D173" s="11">
        <f t="shared" ref="D173:E173" si="173">IF(MOD(F173, 5) &lt;= 2.5, FLOOR(F173, 5), CEILING(F173, 5))</f>
        <v>10</v>
      </c>
      <c r="E173" s="11">
        <f t="shared" si="173"/>
        <v>15</v>
      </c>
      <c r="F173" s="11">
        <f>IFERROR((VLOOKUP(B173, Roccia!$B$2:$D997, 3, FALSE)*(1+Datos!$E$1)), "Revisar")</f>
        <v>8.788</v>
      </c>
      <c r="G173" s="11">
        <f>IFERROR(F173*Datos!$B$3, "Revisar")</f>
        <v>13.182</v>
      </c>
      <c r="H173" s="12">
        <f>IFERROR(G173*Datos!$B$1, "Revisar")</f>
        <v>7613.21269</v>
      </c>
      <c r="I173" s="13">
        <f>IFERROR((VLOOKUP(B173, Roccia!$B$2:$D997, 3, FALSE) /(1-Datos!$E$1)), "Revisar")</f>
        <v>9.657142857</v>
      </c>
      <c r="J173" s="13">
        <f>IFERROR(I173*Datos!$B$3, "Revisar")</f>
        <v>14.48571429</v>
      </c>
      <c r="K173" s="13">
        <f t="shared" si="3"/>
        <v>1.303714286</v>
      </c>
    </row>
    <row r="174">
      <c r="A174" s="8" t="s">
        <v>221</v>
      </c>
      <c r="B174" s="9" t="s">
        <v>364</v>
      </c>
      <c r="C174" s="10" t="s">
        <v>365</v>
      </c>
      <c r="D174" s="11">
        <f t="shared" ref="D174:E174" si="174">IF(MOD(F174, 5) &lt;= 2.5, FLOOR(F174, 5), CEILING(F174, 5))</f>
        <v>30</v>
      </c>
      <c r="E174" s="11">
        <f t="shared" si="174"/>
        <v>45</v>
      </c>
      <c r="F174" s="11">
        <f>IFERROR((VLOOKUP(B174, Roccia!$B$2:$D997, 3, FALSE)*(1+Datos!$E$1)), "Revisar")</f>
        <v>30.381</v>
      </c>
      <c r="G174" s="11">
        <f>IFERROR(F174*Datos!$B$3, "Revisar")</f>
        <v>45.5715</v>
      </c>
      <c r="H174" s="12">
        <f>IFERROR(G174*Datos!$B$1, "Revisar")</f>
        <v>26319.6421</v>
      </c>
      <c r="I174" s="13">
        <f>IFERROR((VLOOKUP(B174, Roccia!$B$2:$D997, 3, FALSE) /(1-Datos!$E$1)), "Revisar")</f>
        <v>33.38571429</v>
      </c>
      <c r="J174" s="13">
        <f>IFERROR(I174*Datos!$B$3, "Revisar")</f>
        <v>50.07857143</v>
      </c>
      <c r="K174" s="13">
        <f t="shared" si="3"/>
        <v>4.507071429</v>
      </c>
    </row>
    <row r="175">
      <c r="A175" s="8" t="s">
        <v>221</v>
      </c>
      <c r="B175" s="9" t="s">
        <v>366</v>
      </c>
      <c r="C175" s="10" t="s">
        <v>367</v>
      </c>
      <c r="D175" s="11">
        <f t="shared" ref="D175:E175" si="175">IF(MOD(F175, 5) &lt;= 2.5, FLOOR(F175, 5), CEILING(F175, 5))</f>
        <v>120</v>
      </c>
      <c r="E175" s="11">
        <f t="shared" si="175"/>
        <v>175</v>
      </c>
      <c r="F175" s="11">
        <f>IFERROR((VLOOKUP(B175, Roccia!$B$2:$D997, 3, FALSE)*(1+Datos!$E$1)), "Revisar")</f>
        <v>117.52</v>
      </c>
      <c r="G175" s="11">
        <f>IFERROR(F175*Datos!$B$3, "Revisar")</f>
        <v>176.28</v>
      </c>
      <c r="H175" s="12">
        <f>IFERROR(G175*Datos!$B$1, "Revisar")</f>
        <v>101809.8265</v>
      </c>
      <c r="I175" s="13">
        <f>IFERROR((VLOOKUP(B175, Roccia!$B$2:$D997, 3, FALSE) /(1-Datos!$E$1)), "Revisar")</f>
        <v>129.1428571</v>
      </c>
      <c r="J175" s="13">
        <f>IFERROR(I175*Datos!$B$3, "Revisar")</f>
        <v>193.7142857</v>
      </c>
      <c r="K175" s="13">
        <f t="shared" si="3"/>
        <v>17.43428571</v>
      </c>
    </row>
    <row r="176">
      <c r="A176" s="8" t="s">
        <v>221</v>
      </c>
      <c r="B176" s="9" t="s">
        <v>368</v>
      </c>
      <c r="C176" s="10" t="s">
        <v>369</v>
      </c>
      <c r="D176" s="11">
        <f t="shared" ref="D176:E176" si="176">IF(MOD(F176, 5) &lt;= 2.5, FLOOR(F176, 5), CEILING(F176, 5))</f>
        <v>160</v>
      </c>
      <c r="E176" s="11">
        <f t="shared" si="176"/>
        <v>240</v>
      </c>
      <c r="F176" s="11">
        <f>IFERROR((VLOOKUP(B176, Roccia!$B$2:$D997, 3, FALSE)*(1+Datos!$E$1)), "Revisar")</f>
        <v>160.953</v>
      </c>
      <c r="G176" s="11">
        <f>IFERROR(F176*Datos!$B$3, "Revisar")</f>
        <v>241.4295</v>
      </c>
      <c r="H176" s="12">
        <f>IFERROR(G176*Datos!$B$1, "Revisar")</f>
        <v>139436.6661</v>
      </c>
      <c r="I176" s="13">
        <f>IFERROR((VLOOKUP(B176, Roccia!$B$2:$D997, 3, FALSE) /(1-Datos!$E$1)), "Revisar")</f>
        <v>176.8714286</v>
      </c>
      <c r="J176" s="13">
        <f>IFERROR(I176*Datos!$B$3, "Revisar")</f>
        <v>265.3071429</v>
      </c>
      <c r="K176" s="13">
        <f t="shared" si="3"/>
        <v>23.87764286</v>
      </c>
    </row>
    <row r="177">
      <c r="A177" s="8" t="s">
        <v>221</v>
      </c>
      <c r="B177" s="9" t="s">
        <v>370</v>
      </c>
      <c r="C177" s="10" t="s">
        <v>371</v>
      </c>
      <c r="D177" s="11">
        <f t="shared" ref="D177:E177" si="177">IF(MOD(F177, 5) &lt;= 2.5, FLOOR(F177, 5), CEILING(F177, 5))</f>
        <v>320</v>
      </c>
      <c r="E177" s="11">
        <f t="shared" si="177"/>
        <v>480</v>
      </c>
      <c r="F177" s="11">
        <f>IFERROR((VLOOKUP(B177, Roccia!$B$2:$D997, 3, FALSE)*(1+Datos!$E$1)), "Revisar")</f>
        <v>319.449</v>
      </c>
      <c r="G177" s="11">
        <f>IFERROR(F177*Datos!$B$3, "Revisar")</f>
        <v>479.1735</v>
      </c>
      <c r="H177" s="12">
        <f>IFERROR(G177*Datos!$B$1, "Revisar")</f>
        <v>276744.7861</v>
      </c>
      <c r="I177" s="13">
        <f>IFERROR((VLOOKUP(B177, Roccia!$B$2:$D997, 3, FALSE) /(1-Datos!$E$1)), "Revisar")</f>
        <v>351.0428571</v>
      </c>
      <c r="J177" s="13">
        <f>IFERROR(I177*Datos!$B$3, "Revisar")</f>
        <v>526.5642857</v>
      </c>
      <c r="K177" s="13">
        <f t="shared" si="3"/>
        <v>47.39078571</v>
      </c>
    </row>
    <row r="178">
      <c r="A178" s="8" t="s">
        <v>221</v>
      </c>
      <c r="B178" s="9" t="s">
        <v>372</v>
      </c>
      <c r="C178" s="10" t="s">
        <v>373</v>
      </c>
      <c r="D178" s="11">
        <f t="shared" ref="D178:E178" si="178">IF(MOD(F178, 5) &lt;= 2.5, FLOOR(F178, 5), CEILING(F178, 5))</f>
        <v>30</v>
      </c>
      <c r="E178" s="11">
        <f t="shared" si="178"/>
        <v>45</v>
      </c>
      <c r="F178" s="11">
        <f>IFERROR((VLOOKUP(B178, Roccia!$B$2:$D997, 3, FALSE)*(1+Datos!$E$1)), "Revisar")</f>
        <v>31.655</v>
      </c>
      <c r="G178" s="11">
        <f>IFERROR(F178*Datos!$B$3, "Revisar")</f>
        <v>47.4825</v>
      </c>
      <c r="H178" s="12">
        <f>IFERROR(G178*Datos!$B$1, "Revisar")</f>
        <v>27423.33269</v>
      </c>
      <c r="I178" s="13">
        <f>IFERROR((VLOOKUP(B178, Roccia!$B$2:$D997, 3, FALSE) /(1-Datos!$E$1)), "Revisar")</f>
        <v>34.78571429</v>
      </c>
      <c r="J178" s="13">
        <f>IFERROR(I178*Datos!$B$3, "Revisar")</f>
        <v>52.17857143</v>
      </c>
      <c r="K178" s="13">
        <f t="shared" si="3"/>
        <v>4.696071429</v>
      </c>
    </row>
    <row r="179">
      <c r="A179" s="8" t="s">
        <v>221</v>
      </c>
      <c r="B179" s="9" t="s">
        <v>374</v>
      </c>
      <c r="C179" s="10" t="s">
        <v>375</v>
      </c>
      <c r="D179" s="11">
        <f t="shared" ref="D179:E179" si="179">IF(MOD(F179, 5) &lt;= 2.5, FLOOR(F179, 5), CEILING(F179, 5))</f>
        <v>35</v>
      </c>
      <c r="E179" s="11">
        <f t="shared" si="179"/>
        <v>50</v>
      </c>
      <c r="F179" s="11">
        <f>IFERROR((VLOOKUP(B179, Roccia!$B$2:$D997, 3, FALSE)*(1+Datos!$E$1)), "Revisar")</f>
        <v>33.787</v>
      </c>
      <c r="G179" s="11">
        <f>IFERROR(F179*Datos!$B$3, "Revisar")</f>
        <v>50.6805</v>
      </c>
      <c r="H179" s="12">
        <f>IFERROR(G179*Datos!$B$1, "Revisar")</f>
        <v>29270.32512</v>
      </c>
      <c r="I179" s="13">
        <f>IFERROR((VLOOKUP(B179, Roccia!$B$2:$D997, 3, FALSE) /(1-Datos!$E$1)), "Revisar")</f>
        <v>37.12857143</v>
      </c>
      <c r="J179" s="13">
        <f>IFERROR(I179*Datos!$B$3, "Revisar")</f>
        <v>55.69285714</v>
      </c>
      <c r="K179" s="13">
        <f t="shared" si="3"/>
        <v>5.012357143</v>
      </c>
    </row>
    <row r="180">
      <c r="A180" s="8" t="s">
        <v>221</v>
      </c>
      <c r="B180" s="9" t="s">
        <v>376</v>
      </c>
      <c r="C180" s="10" t="s">
        <v>377</v>
      </c>
      <c r="D180" s="11">
        <f t="shared" ref="D180:E180" si="180">IF(MOD(F180, 5) &lt;= 2.5, FLOOR(F180, 5), CEILING(F180, 5))</f>
        <v>415</v>
      </c>
      <c r="E180" s="11">
        <f t="shared" si="180"/>
        <v>620</v>
      </c>
      <c r="F180" s="11">
        <f>IFERROR((VLOOKUP(B180, Roccia!$B$2:$D997, 3, FALSE)*(1+Datos!$E$1)), "Revisar")</f>
        <v>412.893</v>
      </c>
      <c r="G180" s="11">
        <f>IFERROR(F180*Datos!$B$3, "Revisar")</f>
        <v>619.3395</v>
      </c>
      <c r="H180" s="12">
        <f>IFERROR(G180*Datos!$B$1, "Revisar")</f>
        <v>357697.1128</v>
      </c>
      <c r="I180" s="13">
        <f>IFERROR((VLOOKUP(B180, Roccia!$B$2:$D997, 3, FALSE) /(1-Datos!$E$1)), "Revisar")</f>
        <v>453.7285714</v>
      </c>
      <c r="J180" s="13">
        <f>IFERROR(I180*Datos!$B$3, "Revisar")</f>
        <v>680.5928571</v>
      </c>
      <c r="K180" s="13">
        <f t="shared" si="3"/>
        <v>61.25335714</v>
      </c>
    </row>
    <row r="181">
      <c r="A181" s="8" t="s">
        <v>221</v>
      </c>
      <c r="B181" s="9" t="s">
        <v>378</v>
      </c>
      <c r="C181" s="10" t="s">
        <v>379</v>
      </c>
      <c r="D181" s="11">
        <f t="shared" ref="D181:E181" si="181">IF(MOD(F181, 5) &lt;= 2.5, FLOOR(F181, 5), CEILING(F181, 5))</f>
        <v>30</v>
      </c>
      <c r="E181" s="11">
        <f t="shared" si="181"/>
        <v>45</v>
      </c>
      <c r="F181" s="11">
        <f>IFERROR((VLOOKUP(B181, Roccia!$B$2:$D997, 3, FALSE)*(1+Datos!$E$1)), "Revisar")</f>
        <v>30.992</v>
      </c>
      <c r="G181" s="11">
        <f>IFERROR(F181*Datos!$B$3, "Revisar")</f>
        <v>46.488</v>
      </c>
      <c r="H181" s="12">
        <f>IFERROR(G181*Datos!$B$1, "Revisar")</f>
        <v>26848.9631</v>
      </c>
      <c r="I181" s="13">
        <f>IFERROR((VLOOKUP(B181, Roccia!$B$2:$D997, 3, FALSE) /(1-Datos!$E$1)), "Revisar")</f>
        <v>34.05714286</v>
      </c>
      <c r="J181" s="13">
        <f>IFERROR(I181*Datos!$B$3, "Revisar")</f>
        <v>51.08571429</v>
      </c>
      <c r="K181" s="13">
        <f t="shared" si="3"/>
        <v>4.597714286</v>
      </c>
    </row>
    <row r="182">
      <c r="A182" s="8" t="s">
        <v>221</v>
      </c>
      <c r="B182" s="9" t="s">
        <v>380</v>
      </c>
      <c r="C182" s="10" t="s">
        <v>381</v>
      </c>
      <c r="D182" s="11">
        <f t="shared" ref="D182:E182" si="182">IF(MOD(F182, 5) &lt;= 2.5, FLOOR(F182, 5), CEILING(F182, 5))</f>
        <v>405</v>
      </c>
      <c r="E182" s="11">
        <f t="shared" si="182"/>
        <v>610</v>
      </c>
      <c r="F182" s="11">
        <f>IFERROR((VLOOKUP(B182, Roccia!$B$2:$D997, 3, FALSE)*(1+Datos!$E$1)), "Revisar")</f>
        <v>406.822</v>
      </c>
      <c r="G182" s="11">
        <f>IFERROR(F182*Datos!$B$3, "Revisar")</f>
        <v>610.233</v>
      </c>
      <c r="H182" s="12">
        <f>IFERROR(G182*Datos!$B$1, "Revisar")</f>
        <v>352437.6892</v>
      </c>
      <c r="I182" s="13">
        <f>IFERROR((VLOOKUP(B182, Roccia!$B$2:$D997, 3, FALSE) /(1-Datos!$E$1)), "Revisar")</f>
        <v>447.0571429</v>
      </c>
      <c r="J182" s="13">
        <f>IFERROR(I182*Datos!$B$3, "Revisar")</f>
        <v>670.5857143</v>
      </c>
      <c r="K182" s="13">
        <f t="shared" si="3"/>
        <v>60.35271429</v>
      </c>
    </row>
    <row r="183">
      <c r="A183" s="8" t="s">
        <v>221</v>
      </c>
      <c r="B183" s="9" t="s">
        <v>382</v>
      </c>
      <c r="C183" s="10" t="s">
        <v>383</v>
      </c>
      <c r="D183" s="11">
        <f t="shared" ref="D183:E183" si="183">IF(MOD(F183, 5) &lt;= 2.5, FLOOR(F183, 5), CEILING(F183, 5))</f>
        <v>250</v>
      </c>
      <c r="E183" s="11">
        <f t="shared" si="183"/>
        <v>375</v>
      </c>
      <c r="F183" s="11">
        <f>IFERROR((VLOOKUP(B183, Roccia!$B$2:$D997, 3, FALSE)*(1+Datos!$E$1)), "Revisar")</f>
        <v>249.184</v>
      </c>
      <c r="G183" s="11">
        <f>IFERROR(F183*Datos!$B$3, "Revisar")</f>
        <v>373.776</v>
      </c>
      <c r="H183" s="12">
        <f>IFERROR(G183*Datos!$B$1, "Revisar")</f>
        <v>215872.8711</v>
      </c>
      <c r="I183" s="13">
        <f>IFERROR((VLOOKUP(B183, Roccia!$B$2:$D997, 3, FALSE) /(1-Datos!$E$1)), "Revisar")</f>
        <v>273.8285714</v>
      </c>
      <c r="J183" s="13">
        <f>IFERROR(I183*Datos!$B$3, "Revisar")</f>
        <v>410.7428571</v>
      </c>
      <c r="K183" s="13">
        <f t="shared" si="3"/>
        <v>36.96685714</v>
      </c>
    </row>
    <row r="184">
      <c r="A184" s="8" t="s">
        <v>221</v>
      </c>
      <c r="B184" s="9" t="s">
        <v>384</v>
      </c>
      <c r="C184" s="10" t="s">
        <v>385</v>
      </c>
      <c r="D184" s="11">
        <f t="shared" ref="D184:E184" si="184">IF(MOD(F184, 5) &lt;= 2.5, FLOOR(F184, 5), CEILING(F184, 5))</f>
        <v>135</v>
      </c>
      <c r="E184" s="11">
        <f t="shared" si="184"/>
        <v>205</v>
      </c>
      <c r="F184" s="11">
        <f>IFERROR((VLOOKUP(B184, Roccia!$B$2:$D997, 3, FALSE)*(1+Datos!$E$1)), "Revisar")</f>
        <v>136.253</v>
      </c>
      <c r="G184" s="11">
        <f>IFERROR(F184*Datos!$B$3, "Revisar")</f>
        <v>204.3795</v>
      </c>
      <c r="H184" s="12">
        <f>IFERROR(G184*Datos!$B$1, "Revisar")</f>
        <v>118038.5831</v>
      </c>
      <c r="I184" s="13">
        <f>IFERROR((VLOOKUP(B184, Roccia!$B$2:$D997, 3, FALSE) /(1-Datos!$E$1)), "Revisar")</f>
        <v>149.7285714</v>
      </c>
      <c r="J184" s="13">
        <f>IFERROR(I184*Datos!$B$3, "Revisar")</f>
        <v>224.5928571</v>
      </c>
      <c r="K184" s="13">
        <f t="shared" si="3"/>
        <v>20.21335714</v>
      </c>
    </row>
    <row r="185">
      <c r="A185" s="8" t="s">
        <v>221</v>
      </c>
      <c r="B185" s="9" t="s">
        <v>386</v>
      </c>
      <c r="C185" s="10" t="s">
        <v>387</v>
      </c>
      <c r="D185" s="11">
        <f t="shared" ref="D185:E185" si="185">IF(MOD(F185, 5) &lt;= 2.5, FLOOR(F185, 5), CEILING(F185, 5))</f>
        <v>195</v>
      </c>
      <c r="E185" s="11">
        <f t="shared" si="185"/>
        <v>290</v>
      </c>
      <c r="F185" s="11">
        <f>IFERROR((VLOOKUP(B185, Roccia!$B$2:$D997, 3, FALSE)*(1+Datos!$E$1)), "Revisar")</f>
        <v>194.506</v>
      </c>
      <c r="G185" s="11">
        <f>IFERROR(F185*Datos!$B$3, "Revisar")</f>
        <v>291.759</v>
      </c>
      <c r="H185" s="12">
        <f>IFERROR(G185*Datos!$B$1, "Revisar")</f>
        <v>168504.2726</v>
      </c>
      <c r="I185" s="13">
        <f>IFERROR((VLOOKUP(B185, Roccia!$B$2:$D997, 3, FALSE) /(1-Datos!$E$1)), "Revisar")</f>
        <v>213.7428571</v>
      </c>
      <c r="J185" s="13">
        <f>IFERROR(I185*Datos!$B$3, "Revisar")</f>
        <v>320.6142857</v>
      </c>
      <c r="K185" s="13">
        <f t="shared" si="3"/>
        <v>28.85528571</v>
      </c>
    </row>
    <row r="186">
      <c r="A186" s="8" t="s">
        <v>221</v>
      </c>
      <c r="B186" s="9" t="s">
        <v>388</v>
      </c>
      <c r="C186" s="10" t="s">
        <v>389</v>
      </c>
      <c r="D186" s="11">
        <f t="shared" ref="D186:E186" si="186">IF(MOD(F186, 5) &lt;= 2.5, FLOOR(F186, 5), CEILING(F186, 5))</f>
        <v>240</v>
      </c>
      <c r="E186" s="11">
        <f t="shared" si="186"/>
        <v>360</v>
      </c>
      <c r="F186" s="11">
        <f>IFERROR((VLOOKUP(B186, Roccia!$B$2:$D997, 3, FALSE)*(1+Datos!$E$1)), "Revisar")</f>
        <v>241.475</v>
      </c>
      <c r="G186" s="11">
        <f>IFERROR(F186*Datos!$B$3, "Revisar")</f>
        <v>362.2125</v>
      </c>
      <c r="H186" s="12">
        <f>IFERROR(G186*Datos!$B$1, "Revisar")</f>
        <v>209194.4167</v>
      </c>
      <c r="I186" s="13">
        <f>IFERROR((VLOOKUP(B186, Roccia!$B$2:$D997, 3, FALSE) /(1-Datos!$E$1)), "Revisar")</f>
        <v>265.3571429</v>
      </c>
      <c r="J186" s="13">
        <f>IFERROR(I186*Datos!$B$3, "Revisar")</f>
        <v>398.0357143</v>
      </c>
      <c r="K186" s="13">
        <f t="shared" si="3"/>
        <v>35.82321429</v>
      </c>
    </row>
    <row r="187">
      <c r="A187" s="8" t="s">
        <v>221</v>
      </c>
      <c r="B187" s="9" t="s">
        <v>390</v>
      </c>
      <c r="C187" s="10" t="s">
        <v>391</v>
      </c>
      <c r="D187" s="11">
        <f t="shared" ref="D187:E187" si="187">IF(MOD(F187, 5) &lt;= 2.5, FLOOR(F187, 5), CEILING(F187, 5))</f>
        <v>110</v>
      </c>
      <c r="E187" s="11">
        <f t="shared" si="187"/>
        <v>165</v>
      </c>
      <c r="F187" s="11">
        <f>IFERROR((VLOOKUP(B187, Roccia!$B$2:$D997, 3, FALSE)*(1+Datos!$E$1)), "Revisar")</f>
        <v>110.227</v>
      </c>
      <c r="G187" s="11">
        <f>IFERROR(F187*Datos!$B$3, "Revisar")</f>
        <v>165.3405</v>
      </c>
      <c r="H187" s="12">
        <f>IFERROR(G187*Datos!$B$1, "Revisar")</f>
        <v>95491.76095</v>
      </c>
      <c r="I187" s="13">
        <f>IFERROR((VLOOKUP(B187, Roccia!$B$2:$D997, 3, FALSE) /(1-Datos!$E$1)), "Revisar")</f>
        <v>121.1285714</v>
      </c>
      <c r="J187" s="13">
        <f>IFERROR(I187*Datos!$B$3, "Revisar")</f>
        <v>181.6928571</v>
      </c>
      <c r="K187" s="13">
        <f t="shared" si="3"/>
        <v>16.35235714</v>
      </c>
    </row>
    <row r="188">
      <c r="A188" s="8" t="s">
        <v>221</v>
      </c>
      <c r="B188" s="9" t="s">
        <v>392</v>
      </c>
      <c r="C188" s="10" t="s">
        <v>393</v>
      </c>
      <c r="D188" s="11">
        <f t="shared" ref="D188:E188" si="188">IF(MOD(F188, 5) &lt;= 2.5, FLOOR(F188, 5), CEILING(F188, 5))</f>
        <v>30</v>
      </c>
      <c r="E188" s="11">
        <f t="shared" si="188"/>
        <v>50</v>
      </c>
      <c r="F188" s="11">
        <f>IFERROR((VLOOKUP(B188, Roccia!$B$2:$D997, 3, FALSE)*(1+Datos!$E$1)), "Revisar")</f>
        <v>32.383</v>
      </c>
      <c r="G188" s="11">
        <f>IFERROR(F188*Datos!$B$3, "Revisar")</f>
        <v>48.5745</v>
      </c>
      <c r="H188" s="12">
        <f>IFERROR(G188*Datos!$B$1, "Revisar")</f>
        <v>28054.01303</v>
      </c>
      <c r="I188" s="13">
        <f>IFERROR((VLOOKUP(B188, Roccia!$B$2:$D997, 3, FALSE) /(1-Datos!$E$1)), "Revisar")</f>
        <v>35.58571429</v>
      </c>
      <c r="J188" s="13">
        <f>IFERROR(I188*Datos!$B$3, "Revisar")</f>
        <v>53.37857143</v>
      </c>
      <c r="K188" s="13">
        <f t="shared" si="3"/>
        <v>4.804071429</v>
      </c>
    </row>
    <row r="189">
      <c r="A189" s="8" t="s">
        <v>221</v>
      </c>
      <c r="B189" s="9" t="s">
        <v>394</v>
      </c>
      <c r="C189" s="10" t="s">
        <v>395</v>
      </c>
      <c r="D189" s="11">
        <f t="shared" ref="D189:E189" si="189">IF(MOD(F189, 5) &lt;= 2.5, FLOOR(F189, 5), CEILING(F189, 5))</f>
        <v>165</v>
      </c>
      <c r="E189" s="11">
        <f t="shared" si="189"/>
        <v>250</v>
      </c>
      <c r="F189" s="11">
        <f>IFERROR((VLOOKUP(B189, Roccia!$B$2:$D997, 3, FALSE)*(1+Datos!$E$1)), "Revisar")</f>
        <v>165.529</v>
      </c>
      <c r="G189" s="11">
        <f>IFERROR(F189*Datos!$B$3, "Revisar")</f>
        <v>248.2935</v>
      </c>
      <c r="H189" s="12">
        <f>IFERROR(G189*Datos!$B$1, "Revisar")</f>
        <v>143400.9426</v>
      </c>
      <c r="I189" s="13">
        <f>IFERROR((VLOOKUP(B189, Roccia!$B$2:$D997, 3, FALSE) /(1-Datos!$E$1)), "Revisar")</f>
        <v>181.9</v>
      </c>
      <c r="J189" s="13">
        <f>IFERROR(I189*Datos!$B$3, "Revisar")</f>
        <v>272.85</v>
      </c>
      <c r="K189" s="13">
        <f t="shared" si="3"/>
        <v>24.5565</v>
      </c>
    </row>
    <row r="190">
      <c r="A190" s="8" t="s">
        <v>221</v>
      </c>
      <c r="B190" s="9" t="s">
        <v>396</v>
      </c>
      <c r="C190" s="10" t="s">
        <v>397</v>
      </c>
      <c r="D190" s="11">
        <f t="shared" ref="D190:E190" si="190">IF(MOD(F190, 5) &lt;= 2.5, FLOOR(F190, 5), CEILING(F190, 5))</f>
        <v>10</v>
      </c>
      <c r="E190" s="11">
        <f t="shared" si="190"/>
        <v>15</v>
      </c>
      <c r="F190" s="11">
        <f>IFERROR((VLOOKUP(B190, Roccia!$B$2:$D997, 3, FALSE)*(1+Datos!$E$1)), "Revisar")</f>
        <v>9.1</v>
      </c>
      <c r="G190" s="11">
        <f>IFERROR(F190*Datos!$B$3, "Revisar")</f>
        <v>13.65</v>
      </c>
      <c r="H190" s="12">
        <f>IFERROR(G190*Datos!$B$1, "Revisar")</f>
        <v>7883.504265</v>
      </c>
      <c r="I190" s="13">
        <f>IFERROR((VLOOKUP(B190, Roccia!$B$2:$D997, 3, FALSE) /(1-Datos!$E$1)), "Revisar")</f>
        <v>10</v>
      </c>
      <c r="J190" s="13">
        <f>IFERROR(I190*Datos!$B$3, "Revisar")</f>
        <v>15</v>
      </c>
      <c r="K190" s="13">
        <f t="shared" si="3"/>
        <v>1.35</v>
      </c>
    </row>
    <row r="191">
      <c r="A191" s="8" t="s">
        <v>221</v>
      </c>
      <c r="B191" s="9" t="s">
        <v>398</v>
      </c>
      <c r="C191" s="10" t="s">
        <v>399</v>
      </c>
      <c r="D191" s="11">
        <f t="shared" ref="D191:E191" si="191">IF(MOD(F191, 5) &lt;= 2.5, FLOOR(F191, 5), CEILING(F191, 5))</f>
        <v>50</v>
      </c>
      <c r="E191" s="11">
        <f t="shared" si="191"/>
        <v>75</v>
      </c>
      <c r="F191" s="11">
        <f>IFERROR((VLOOKUP(B191, Roccia!$B$2:$D997, 3, FALSE)*(1+Datos!$E$1)), "Revisar")</f>
        <v>50.661</v>
      </c>
      <c r="G191" s="11">
        <f>IFERROR(F191*Datos!$B$3, "Revisar")</f>
        <v>75.9915</v>
      </c>
      <c r="H191" s="12">
        <f>IFERROR(G191*Datos!$B$1, "Revisar")</f>
        <v>43888.59446</v>
      </c>
      <c r="I191" s="13">
        <f>IFERROR((VLOOKUP(B191, Roccia!$B$2:$D997, 3, FALSE) /(1-Datos!$E$1)), "Revisar")</f>
        <v>55.67142857</v>
      </c>
      <c r="J191" s="13">
        <f>IFERROR(I191*Datos!$B$3, "Revisar")</f>
        <v>83.50714286</v>
      </c>
      <c r="K191" s="13">
        <f t="shared" si="3"/>
        <v>7.515642857</v>
      </c>
    </row>
    <row r="192">
      <c r="A192" s="8" t="s">
        <v>221</v>
      </c>
      <c r="B192" s="9" t="s">
        <v>400</v>
      </c>
      <c r="C192" s="10" t="s">
        <v>401</v>
      </c>
      <c r="D192" s="11">
        <f t="shared" ref="D192:E192" si="192">IF(MOD(F192, 5) &lt;= 2.5, FLOOR(F192, 5), CEILING(F192, 5))</f>
        <v>35</v>
      </c>
      <c r="E192" s="11">
        <f t="shared" si="192"/>
        <v>55</v>
      </c>
      <c r="F192" s="11">
        <f>IFERROR((VLOOKUP(B192, Roccia!$B$2:$D997, 3, FALSE)*(1+Datos!$E$1)), "Revisar")</f>
        <v>36.166</v>
      </c>
      <c r="G192" s="11">
        <f>IFERROR(F192*Datos!$B$3, "Revisar")</f>
        <v>54.249</v>
      </c>
      <c r="H192" s="12">
        <f>IFERROR(G192*Datos!$B$1, "Revisar")</f>
        <v>31331.29838</v>
      </c>
      <c r="I192" s="13">
        <f>IFERROR((VLOOKUP(B192, Roccia!$B$2:$D997, 3, FALSE) /(1-Datos!$E$1)), "Revisar")</f>
        <v>39.74285714</v>
      </c>
      <c r="J192" s="13">
        <f>IFERROR(I192*Datos!$B$3, "Revisar")</f>
        <v>59.61428571</v>
      </c>
      <c r="K192" s="13">
        <f t="shared" si="3"/>
        <v>5.365285714</v>
      </c>
    </row>
    <row r="193">
      <c r="A193" s="8" t="s">
        <v>221</v>
      </c>
      <c r="B193" s="9" t="s">
        <v>402</v>
      </c>
      <c r="C193" s="10" t="s">
        <v>403</v>
      </c>
      <c r="D193" s="11">
        <f t="shared" ref="D193:E193" si="193">IF(MOD(F193, 5) &lt;= 2.5, FLOOR(F193, 5), CEILING(F193, 5))</f>
        <v>50</v>
      </c>
      <c r="E193" s="11">
        <f t="shared" si="193"/>
        <v>75</v>
      </c>
      <c r="F193" s="11">
        <f>IFERROR((VLOOKUP(B193, Roccia!$B$2:$D997, 3, FALSE)*(1+Datos!$E$1)), "Revisar")</f>
        <v>49.842</v>
      </c>
      <c r="G193" s="11">
        <f>IFERROR(F193*Datos!$B$3, "Revisar")</f>
        <v>74.763</v>
      </c>
      <c r="H193" s="12">
        <f>IFERROR(G193*Datos!$B$1, "Revisar")</f>
        <v>43179.07907</v>
      </c>
      <c r="I193" s="13">
        <f>IFERROR((VLOOKUP(B193, Roccia!$B$2:$D997, 3, FALSE) /(1-Datos!$E$1)), "Revisar")</f>
        <v>54.77142857</v>
      </c>
      <c r="J193" s="13">
        <f>IFERROR(I193*Datos!$B$3, "Revisar")</f>
        <v>82.15714286</v>
      </c>
      <c r="K193" s="13">
        <f t="shared" si="3"/>
        <v>7.394142857</v>
      </c>
    </row>
    <row r="194">
      <c r="A194" s="8" t="s">
        <v>221</v>
      </c>
      <c r="B194" s="9" t="s">
        <v>404</v>
      </c>
      <c r="C194" s="10" t="s">
        <v>405</v>
      </c>
      <c r="D194" s="11">
        <f t="shared" ref="D194:E194" si="194">IF(MOD(F194, 5) &lt;= 2.5, FLOOR(F194, 5), CEILING(F194, 5))</f>
        <v>70</v>
      </c>
      <c r="E194" s="11">
        <f t="shared" si="194"/>
        <v>110</v>
      </c>
      <c r="F194" s="11">
        <f>IFERROR((VLOOKUP(B194, Roccia!$B$2:$D997, 3, FALSE)*(1+Datos!$E$1)), "Revisar")</f>
        <v>72.306</v>
      </c>
      <c r="G194" s="11">
        <f>IFERROR(F194*Datos!$B$3, "Revisar")</f>
        <v>108.459</v>
      </c>
      <c r="H194" s="12">
        <f>IFERROR(G194*Datos!$B$1, "Revisar")</f>
        <v>62640.07246</v>
      </c>
      <c r="I194" s="13">
        <f>IFERROR((VLOOKUP(B194, Roccia!$B$2:$D997, 3, FALSE) /(1-Datos!$E$1)), "Revisar")</f>
        <v>79.45714286</v>
      </c>
      <c r="J194" s="13">
        <f>IFERROR(I194*Datos!$B$3, "Revisar")</f>
        <v>119.1857143</v>
      </c>
      <c r="K194" s="13">
        <f t="shared" si="3"/>
        <v>10.72671429</v>
      </c>
    </row>
    <row r="195">
      <c r="A195" s="8" t="s">
        <v>221</v>
      </c>
      <c r="B195" s="9" t="s">
        <v>406</v>
      </c>
      <c r="C195" s="10" t="s">
        <v>407</v>
      </c>
      <c r="D195" s="11">
        <f t="shared" ref="D195:E195" si="195">IF(MOD(F195, 5) &lt;= 2.5, FLOOR(F195, 5), CEILING(F195, 5))</f>
        <v>410</v>
      </c>
      <c r="E195" s="11">
        <f t="shared" si="195"/>
        <v>615</v>
      </c>
      <c r="F195" s="11">
        <f>IFERROR((VLOOKUP(B195, Roccia!$B$2:$D997, 3, FALSE)*(1+Datos!$E$1)), "Revisar")</f>
        <v>408.499</v>
      </c>
      <c r="G195" s="11">
        <f>IFERROR(F195*Datos!$B$3, "Revisar")</f>
        <v>612.7485</v>
      </c>
      <c r="H195" s="12">
        <f>IFERROR(G195*Datos!$B$1, "Revisar")</f>
        <v>353890.5065</v>
      </c>
      <c r="I195" s="13">
        <f>IFERROR((VLOOKUP(B195, Roccia!$B$2:$D997, 3, FALSE) /(1-Datos!$E$1)), "Revisar")</f>
        <v>448.9</v>
      </c>
      <c r="J195" s="13">
        <f>IFERROR(I195*Datos!$B$3, "Revisar")</f>
        <v>673.35</v>
      </c>
      <c r="K195" s="13">
        <f t="shared" si="3"/>
        <v>60.6015</v>
      </c>
    </row>
    <row r="196">
      <c r="A196" s="8" t="s">
        <v>221</v>
      </c>
      <c r="B196" s="9" t="s">
        <v>408</v>
      </c>
      <c r="C196" s="10" t="s">
        <v>409</v>
      </c>
      <c r="D196" s="11">
        <f t="shared" ref="D196:E196" si="196">IF(MOD(F196, 5) &lt;= 2.5, FLOOR(F196, 5), CEILING(F196, 5))</f>
        <v>475</v>
      </c>
      <c r="E196" s="11">
        <f t="shared" si="196"/>
        <v>710</v>
      </c>
      <c r="F196" s="11">
        <f>IFERROR((VLOOKUP(B196, Roccia!$B$2:$D997, 3, FALSE)*(1+Datos!$E$1)), "Revisar")</f>
        <v>472.524</v>
      </c>
      <c r="G196" s="11">
        <f>IFERROR(F196*Datos!$B$3, "Revisar")</f>
        <v>708.786</v>
      </c>
      <c r="H196" s="12">
        <f>IFERROR(G196*Datos!$B$1, "Revisar")</f>
        <v>409356.59</v>
      </c>
      <c r="I196" s="13">
        <f>IFERROR((VLOOKUP(B196, Roccia!$B$2:$D997, 3, FALSE) /(1-Datos!$E$1)), "Revisar")</f>
        <v>519.2571429</v>
      </c>
      <c r="J196" s="13">
        <f>IFERROR(I196*Datos!$B$3, "Revisar")</f>
        <v>778.8857143</v>
      </c>
      <c r="K196" s="13">
        <f t="shared" si="3"/>
        <v>70.09971429</v>
      </c>
    </row>
    <row r="197">
      <c r="A197" s="8" t="s">
        <v>221</v>
      </c>
      <c r="B197" s="9" t="s">
        <v>410</v>
      </c>
      <c r="C197" s="10" t="s">
        <v>411</v>
      </c>
      <c r="D197" s="11">
        <f t="shared" ref="D197:E197" si="197">IF(MOD(F197, 5) &lt;= 2.5, FLOOR(F197, 5), CEILING(F197, 5))</f>
        <v>285</v>
      </c>
      <c r="E197" s="11">
        <f t="shared" si="197"/>
        <v>430</v>
      </c>
      <c r="F197" s="11">
        <f>IFERROR((VLOOKUP(B197, Roccia!$B$2:$D997, 3, FALSE)*(1+Datos!$E$1)), "Revisar")</f>
        <v>287.001</v>
      </c>
      <c r="G197" s="11">
        <f>IFERROR(F197*Datos!$B$3, "Revisar")</f>
        <v>430.5015</v>
      </c>
      <c r="H197" s="12">
        <f>IFERROR(G197*Datos!$B$1, "Revisar")</f>
        <v>248634.4624</v>
      </c>
      <c r="I197" s="13">
        <f>IFERROR((VLOOKUP(B197, Roccia!$B$2:$D997, 3, FALSE) /(1-Datos!$E$1)), "Revisar")</f>
        <v>315.3857143</v>
      </c>
      <c r="J197" s="13">
        <f>IFERROR(I197*Datos!$B$3, "Revisar")</f>
        <v>473.0785714</v>
      </c>
      <c r="K197" s="13">
        <f t="shared" si="3"/>
        <v>42.57707143</v>
      </c>
    </row>
    <row r="198">
      <c r="A198" s="8" t="s">
        <v>221</v>
      </c>
      <c r="B198" s="9" t="s">
        <v>412</v>
      </c>
      <c r="C198" s="10" t="s">
        <v>413</v>
      </c>
      <c r="D198" s="11">
        <f t="shared" ref="D198:E198" si="198">IF(MOD(F198, 5) &lt;= 2.5, FLOOR(F198, 5), CEILING(F198, 5))</f>
        <v>30</v>
      </c>
      <c r="E198" s="11">
        <f t="shared" si="198"/>
        <v>45</v>
      </c>
      <c r="F198" s="11">
        <f>IFERROR((VLOOKUP(B198, Roccia!$B$2:$D997, 3, FALSE)*(1+Datos!$E$1)), "Revisar")</f>
        <v>29.003</v>
      </c>
      <c r="G198" s="11">
        <f>IFERROR(F198*Datos!$B$3, "Revisar")</f>
        <v>43.5045</v>
      </c>
      <c r="H198" s="12">
        <f>IFERROR(G198*Datos!$B$1, "Revisar")</f>
        <v>25125.85431</v>
      </c>
      <c r="I198" s="13">
        <f>IFERROR((VLOOKUP(B198, Roccia!$B$2:$D997, 3, FALSE) /(1-Datos!$E$1)), "Revisar")</f>
        <v>31.87142857</v>
      </c>
      <c r="J198" s="13">
        <f>IFERROR(I198*Datos!$B$3, "Revisar")</f>
        <v>47.80714286</v>
      </c>
      <c r="K198" s="13">
        <f t="shared" si="3"/>
        <v>4.302642857</v>
      </c>
    </row>
    <row r="199">
      <c r="A199" s="8" t="s">
        <v>221</v>
      </c>
      <c r="B199" s="9" t="s">
        <v>414</v>
      </c>
      <c r="C199" s="10" t="s">
        <v>415</v>
      </c>
      <c r="D199" s="11">
        <f t="shared" ref="D199:E199" si="199">IF(MOD(F199, 5) &lt;= 2.5, FLOOR(F199, 5), CEILING(F199, 5))</f>
        <v>40</v>
      </c>
      <c r="E199" s="11">
        <f t="shared" si="199"/>
        <v>55</v>
      </c>
      <c r="F199" s="11">
        <f>IFERROR((VLOOKUP(B199, Roccia!$B$2:$D997, 3, FALSE)*(1+Datos!$E$1)), "Revisar")</f>
        <v>37.869</v>
      </c>
      <c r="G199" s="11">
        <f>IFERROR(F199*Datos!$B$3, "Revisar")</f>
        <v>56.8035</v>
      </c>
      <c r="H199" s="12">
        <f>IFERROR(G199*Datos!$B$1, "Revisar")</f>
        <v>32806.63989</v>
      </c>
      <c r="I199" s="13">
        <f>IFERROR((VLOOKUP(B199, Roccia!$B$2:$D997, 3, FALSE) /(1-Datos!$E$1)), "Revisar")</f>
        <v>41.61428571</v>
      </c>
      <c r="J199" s="13">
        <f>IFERROR(I199*Datos!$B$3, "Revisar")</f>
        <v>62.42142857</v>
      </c>
      <c r="K199" s="13">
        <f t="shared" si="3"/>
        <v>5.617928571</v>
      </c>
    </row>
    <row r="200">
      <c r="A200" s="8" t="s">
        <v>221</v>
      </c>
      <c r="B200" s="9" t="s">
        <v>416</v>
      </c>
      <c r="C200" s="10" t="s">
        <v>417</v>
      </c>
      <c r="D200" s="11">
        <f t="shared" ref="D200:E200" si="200">IF(MOD(F200, 5) &lt;= 2.5, FLOOR(F200, 5), CEILING(F200, 5))</f>
        <v>75</v>
      </c>
      <c r="E200" s="11">
        <f t="shared" si="200"/>
        <v>115</v>
      </c>
      <c r="F200" s="11">
        <f>IFERROR((VLOOKUP(B200, Roccia!$B$2:$D997, 3, FALSE)*(1+Datos!$E$1)), "Revisar")</f>
        <v>75.686</v>
      </c>
      <c r="G200" s="11">
        <f>IFERROR(F200*Datos!$B$3, "Revisar")</f>
        <v>113.529</v>
      </c>
      <c r="H200" s="12">
        <f>IFERROR(G200*Datos!$B$1, "Revisar")</f>
        <v>65568.23119</v>
      </c>
      <c r="I200" s="13">
        <f>IFERROR((VLOOKUP(B200, Roccia!$B$2:$D997, 3, FALSE) /(1-Datos!$E$1)), "Revisar")</f>
        <v>83.17142857</v>
      </c>
      <c r="J200" s="13">
        <f>IFERROR(I200*Datos!$B$3, "Revisar")</f>
        <v>124.7571429</v>
      </c>
      <c r="K200" s="13">
        <f t="shared" si="3"/>
        <v>11.22814286</v>
      </c>
    </row>
    <row r="201">
      <c r="A201" s="8" t="s">
        <v>221</v>
      </c>
      <c r="B201" s="9" t="s">
        <v>418</v>
      </c>
      <c r="C201" s="10" t="s">
        <v>419</v>
      </c>
      <c r="D201" s="11">
        <f t="shared" ref="D201:E201" si="201">IF(MOD(F201, 5) &lt;= 2.5, FLOOR(F201, 5), CEILING(F201, 5))</f>
        <v>260</v>
      </c>
      <c r="E201" s="11">
        <f t="shared" si="201"/>
        <v>390</v>
      </c>
      <c r="F201" s="11">
        <f>IFERROR((VLOOKUP(B201, Roccia!$B$2:$D997, 3, FALSE)*(1+Datos!$E$1)), "Revisar")</f>
        <v>259.35</v>
      </c>
      <c r="G201" s="11">
        <f>IFERROR(F201*Datos!$B$3, "Revisar")</f>
        <v>389.025</v>
      </c>
      <c r="H201" s="12">
        <f>IFERROR(G201*Datos!$B$1, "Revisar")</f>
        <v>224679.8716</v>
      </c>
      <c r="I201" s="13">
        <f>IFERROR((VLOOKUP(B201, Roccia!$B$2:$D997, 3, FALSE) /(1-Datos!$E$1)), "Revisar")</f>
        <v>285</v>
      </c>
      <c r="J201" s="13">
        <f>IFERROR(I201*Datos!$B$3, "Revisar")</f>
        <v>427.5</v>
      </c>
      <c r="K201" s="13">
        <f t="shared" si="3"/>
        <v>38.475</v>
      </c>
    </row>
    <row r="202">
      <c r="A202" s="8" t="s">
        <v>221</v>
      </c>
      <c r="B202" s="9" t="s">
        <v>420</v>
      </c>
      <c r="C202" s="10" t="s">
        <v>421</v>
      </c>
      <c r="D202" s="11">
        <f t="shared" ref="D202:E202" si="202">IF(MOD(F202, 5) &lt;= 2.5, FLOOR(F202, 5), CEILING(F202, 5))</f>
        <v>95</v>
      </c>
      <c r="E202" s="11">
        <f t="shared" si="202"/>
        <v>140</v>
      </c>
      <c r="F202" s="11">
        <f>IFERROR((VLOOKUP(B202, Roccia!$B$2:$D997, 3, FALSE)*(1+Datos!$E$1)), "Revisar")</f>
        <v>94.978</v>
      </c>
      <c r="G202" s="11">
        <f>IFERROR(F202*Datos!$B$3, "Revisar")</f>
        <v>142.467</v>
      </c>
      <c r="H202" s="12">
        <f>IFERROR(G202*Datos!$B$1, "Revisar")</f>
        <v>82281.26023</v>
      </c>
      <c r="I202" s="13">
        <f>IFERROR((VLOOKUP(B202, Roccia!$B$2:$D997, 3, FALSE) /(1-Datos!$E$1)), "Revisar")</f>
        <v>104.3714286</v>
      </c>
      <c r="J202" s="13">
        <f>IFERROR(I202*Datos!$B$3, "Revisar")</f>
        <v>156.5571429</v>
      </c>
      <c r="K202" s="13">
        <f t="shared" si="3"/>
        <v>14.09014286</v>
      </c>
    </row>
    <row r="203">
      <c r="A203" s="8" t="s">
        <v>221</v>
      </c>
      <c r="B203" s="9" t="s">
        <v>422</v>
      </c>
      <c r="C203" s="10" t="s">
        <v>423</v>
      </c>
      <c r="D203" s="11">
        <f t="shared" ref="D203:E203" si="203">IF(MOD(F203, 5) &lt;= 2.5, FLOOR(F203, 5), CEILING(F203, 5))</f>
        <v>35</v>
      </c>
      <c r="E203" s="11">
        <f t="shared" si="203"/>
        <v>50</v>
      </c>
      <c r="F203" s="11">
        <f>IFERROR((VLOOKUP(B203, Roccia!$B$2:$D997, 3, FALSE)*(1+Datos!$E$1)), "Revisar")</f>
        <v>34.567</v>
      </c>
      <c r="G203" s="11">
        <f>IFERROR(F203*Datos!$B$3, "Revisar")</f>
        <v>51.8505</v>
      </c>
      <c r="H203" s="12">
        <f>IFERROR(G203*Datos!$B$1, "Revisar")</f>
        <v>29946.05406</v>
      </c>
      <c r="I203" s="13">
        <f>IFERROR((VLOOKUP(B203, Roccia!$B$2:$D997, 3, FALSE) /(1-Datos!$E$1)), "Revisar")</f>
        <v>37.98571429</v>
      </c>
      <c r="J203" s="13">
        <f>IFERROR(I203*Datos!$B$3, "Revisar")</f>
        <v>56.97857143</v>
      </c>
      <c r="K203" s="13">
        <f t="shared" si="3"/>
        <v>5.128071429</v>
      </c>
    </row>
    <row r="204">
      <c r="A204" s="8" t="s">
        <v>221</v>
      </c>
      <c r="B204" s="9" t="s">
        <v>424</v>
      </c>
      <c r="C204" s="10" t="s">
        <v>425</v>
      </c>
      <c r="D204" s="11">
        <f t="shared" ref="D204:E204" si="204">IF(MOD(F204, 5) &lt;= 2.5, FLOOR(F204, 5), CEILING(F204, 5))</f>
        <v>235</v>
      </c>
      <c r="E204" s="11">
        <f t="shared" si="204"/>
        <v>350</v>
      </c>
      <c r="F204" s="11">
        <f>IFERROR((VLOOKUP(B204, Roccia!$B$2:$D997, 3, FALSE)*(1+Datos!$E$1)), "Revisar")</f>
        <v>233.285</v>
      </c>
      <c r="G204" s="11">
        <f>IFERROR(F204*Datos!$B$3, "Revisar")</f>
        <v>349.9275</v>
      </c>
      <c r="H204" s="12">
        <f>IFERROR(G204*Datos!$B$1, "Revisar")</f>
        <v>202099.2629</v>
      </c>
      <c r="I204" s="13">
        <f>IFERROR((VLOOKUP(B204, Roccia!$B$2:$D997, 3, FALSE) /(1-Datos!$E$1)), "Revisar")</f>
        <v>256.3571429</v>
      </c>
      <c r="J204" s="13">
        <f>IFERROR(I204*Datos!$B$3, "Revisar")</f>
        <v>384.5357143</v>
      </c>
      <c r="K204" s="13">
        <f t="shared" si="3"/>
        <v>34.60821429</v>
      </c>
    </row>
    <row r="205">
      <c r="A205" s="8" t="s">
        <v>221</v>
      </c>
      <c r="B205" s="9" t="s">
        <v>426</v>
      </c>
      <c r="C205" s="10" t="s">
        <v>427</v>
      </c>
      <c r="D205" s="11">
        <f t="shared" ref="D205:E205" si="205">IF(MOD(F205, 5) &lt;= 2.5, FLOOR(F205, 5), CEILING(F205, 5))</f>
        <v>260</v>
      </c>
      <c r="E205" s="11">
        <f t="shared" si="205"/>
        <v>390</v>
      </c>
      <c r="F205" s="11">
        <f>IFERROR((VLOOKUP(B205, Roccia!$B$2:$D997, 3, FALSE)*(1+Datos!$E$1)), "Revisar")</f>
        <v>260.494</v>
      </c>
      <c r="G205" s="11">
        <f>IFERROR(F205*Datos!$B$3, "Revisar")</f>
        <v>390.741</v>
      </c>
      <c r="H205" s="12">
        <f>IFERROR(G205*Datos!$B$1, "Revisar")</f>
        <v>225670.9407</v>
      </c>
      <c r="I205" s="13">
        <f>IFERROR((VLOOKUP(B205, Roccia!$B$2:$D997, 3, FALSE) /(1-Datos!$E$1)), "Revisar")</f>
        <v>286.2571429</v>
      </c>
      <c r="J205" s="13">
        <f>IFERROR(I205*Datos!$B$3, "Revisar")</f>
        <v>429.3857143</v>
      </c>
      <c r="K205" s="13">
        <f t="shared" si="3"/>
        <v>38.64471429</v>
      </c>
    </row>
    <row r="206">
      <c r="A206" s="8" t="s">
        <v>221</v>
      </c>
      <c r="B206" s="9" t="s">
        <v>428</v>
      </c>
      <c r="C206" s="10" t="s">
        <v>429</v>
      </c>
      <c r="D206" s="11">
        <f t="shared" ref="D206:E206" si="206">IF(MOD(F206, 5) &lt;= 2.5, FLOOR(F206, 5), CEILING(F206, 5))</f>
        <v>90</v>
      </c>
      <c r="E206" s="11">
        <f t="shared" si="206"/>
        <v>140</v>
      </c>
      <c r="F206" s="11">
        <f>IFERROR((VLOOKUP(B206, Roccia!$B$2:$D997, 3, FALSE)*(1+Datos!$E$1)), "Revisar")</f>
        <v>92.469</v>
      </c>
      <c r="G206" s="11">
        <f>IFERROR(F206*Datos!$B$3, "Revisar")</f>
        <v>138.7035</v>
      </c>
      <c r="H206" s="12">
        <f>IFERROR(G206*Datos!$B$1, "Revisar")</f>
        <v>80107.66548</v>
      </c>
      <c r="I206" s="13">
        <f>IFERROR((VLOOKUP(B206, Roccia!$B$2:$D997, 3, FALSE) /(1-Datos!$E$1)), "Revisar")</f>
        <v>101.6142857</v>
      </c>
      <c r="J206" s="13">
        <f>IFERROR(I206*Datos!$B$3, "Revisar")</f>
        <v>152.4214286</v>
      </c>
      <c r="K206" s="13">
        <f t="shared" si="3"/>
        <v>13.71792857</v>
      </c>
    </row>
    <row r="207">
      <c r="A207" s="8" t="s">
        <v>221</v>
      </c>
      <c r="B207" s="9" t="s">
        <v>430</v>
      </c>
      <c r="C207" s="10" t="s">
        <v>431</v>
      </c>
      <c r="D207" s="11">
        <f t="shared" ref="D207:E207" si="207">IF(MOD(F207, 5) &lt;= 2.5, FLOOR(F207, 5), CEILING(F207, 5))</f>
        <v>85</v>
      </c>
      <c r="E207" s="11">
        <f t="shared" si="207"/>
        <v>125</v>
      </c>
      <c r="F207" s="11">
        <f>IFERROR((VLOOKUP(B207, Roccia!$B$2:$D997, 3, FALSE)*(1+Datos!$E$1)), "Revisar")</f>
        <v>84.409</v>
      </c>
      <c r="G207" s="11">
        <f>IFERROR(F207*Datos!$B$3, "Revisar")</f>
        <v>126.6135</v>
      </c>
      <c r="H207" s="12">
        <f>IFERROR(G207*Datos!$B$1, "Revisar")</f>
        <v>73125.13313</v>
      </c>
      <c r="I207" s="13">
        <f>IFERROR((VLOOKUP(B207, Roccia!$B$2:$D997, 3, FALSE) /(1-Datos!$E$1)), "Revisar")</f>
        <v>92.75714286</v>
      </c>
      <c r="J207" s="13">
        <f>IFERROR(I207*Datos!$B$3, "Revisar")</f>
        <v>139.1357143</v>
      </c>
      <c r="K207" s="13">
        <f t="shared" si="3"/>
        <v>12.52221429</v>
      </c>
    </row>
    <row r="208">
      <c r="A208" s="8" t="s">
        <v>221</v>
      </c>
      <c r="B208" s="9" t="s">
        <v>432</v>
      </c>
      <c r="C208" s="10" t="s">
        <v>433</v>
      </c>
      <c r="D208" s="11">
        <f t="shared" ref="D208:E208" si="208">IF(MOD(F208, 5) &lt;= 2.5, FLOOR(F208, 5), CEILING(F208, 5))</f>
        <v>145</v>
      </c>
      <c r="E208" s="11">
        <f t="shared" si="208"/>
        <v>215</v>
      </c>
      <c r="F208" s="11">
        <f>IFERROR((VLOOKUP(B208, Roccia!$B$2:$D997, 3, FALSE)*(1+Datos!$E$1)), "Revisar")</f>
        <v>144.846</v>
      </c>
      <c r="G208" s="11">
        <f>IFERROR(F208*Datos!$B$3, "Revisar")</f>
        <v>217.269</v>
      </c>
      <c r="H208" s="12">
        <f>IFERROR(G208*Datos!$B$1, "Revisar")</f>
        <v>125482.8636</v>
      </c>
      <c r="I208" s="13">
        <f>IFERROR((VLOOKUP(B208, Roccia!$B$2:$D997, 3, FALSE) /(1-Datos!$E$1)), "Revisar")</f>
        <v>159.1714286</v>
      </c>
      <c r="J208" s="13">
        <f>IFERROR(I208*Datos!$B$3, "Revisar")</f>
        <v>238.7571429</v>
      </c>
      <c r="K208" s="13">
        <f t="shared" si="3"/>
        <v>21.48814286</v>
      </c>
    </row>
    <row r="209">
      <c r="A209" s="8" t="s">
        <v>221</v>
      </c>
      <c r="B209" s="9" t="s">
        <v>434</v>
      </c>
      <c r="C209" s="10" t="s">
        <v>435</v>
      </c>
      <c r="D209" s="11">
        <f t="shared" ref="D209:E209" si="209">IF(MOD(F209, 5) &lt;= 2.5, FLOOR(F209, 5), CEILING(F209, 5))</f>
        <v>180</v>
      </c>
      <c r="E209" s="11">
        <f t="shared" si="209"/>
        <v>265</v>
      </c>
      <c r="F209" s="11">
        <f>IFERROR((VLOOKUP(B209, Roccia!$B$2:$D997, 3, FALSE)*(1+Datos!$E$1)), "Revisar")</f>
        <v>177.567</v>
      </c>
      <c r="G209" s="11">
        <f>IFERROR(F209*Datos!$B$3, "Revisar")</f>
        <v>266.3505</v>
      </c>
      <c r="H209" s="12">
        <f>IFERROR(G209*Datos!$B$1, "Revisar")</f>
        <v>153829.6925</v>
      </c>
      <c r="I209" s="13">
        <f>IFERROR((VLOOKUP(B209, Roccia!$B$2:$D997, 3, FALSE) /(1-Datos!$E$1)), "Revisar")</f>
        <v>195.1285714</v>
      </c>
      <c r="J209" s="13">
        <f>IFERROR(I209*Datos!$B$3, "Revisar")</f>
        <v>292.6928571</v>
      </c>
      <c r="K209" s="13">
        <f t="shared" si="3"/>
        <v>26.34235714</v>
      </c>
    </row>
    <row r="210">
      <c r="A210" s="8" t="s">
        <v>221</v>
      </c>
      <c r="B210" s="9" t="s">
        <v>436</v>
      </c>
      <c r="C210" s="10" t="s">
        <v>437</v>
      </c>
      <c r="D210" s="11">
        <f t="shared" ref="D210:E210" si="210">IF(MOD(F210, 5) &lt;= 2.5, FLOOR(F210, 5), CEILING(F210, 5))</f>
        <v>20</v>
      </c>
      <c r="E210" s="11">
        <f t="shared" si="210"/>
        <v>30</v>
      </c>
      <c r="F210" s="11">
        <f>IFERROR((VLOOKUP(B210, Roccia!$B$2:$D997, 3, FALSE)*(1+Datos!$E$1)), "Revisar")</f>
        <v>18.967</v>
      </c>
      <c r="G210" s="11">
        <f>IFERROR(F210*Datos!$B$3, "Revisar")</f>
        <v>28.4505</v>
      </c>
      <c r="H210" s="12">
        <f>IFERROR(G210*Datos!$B$1, "Revisar")</f>
        <v>16431.47532</v>
      </c>
      <c r="I210" s="13">
        <f>IFERROR((VLOOKUP(B210, Roccia!$B$2:$D997, 3, FALSE) /(1-Datos!$E$1)), "Revisar")</f>
        <v>20.84285714</v>
      </c>
      <c r="J210" s="13">
        <f>IFERROR(I210*Datos!$B$3, "Revisar")</f>
        <v>31.26428571</v>
      </c>
      <c r="K210" s="13">
        <f t="shared" si="3"/>
        <v>2.813785714</v>
      </c>
    </row>
    <row r="211">
      <c r="A211" s="8" t="s">
        <v>438</v>
      </c>
      <c r="B211" s="9" t="s">
        <v>439</v>
      </c>
      <c r="C211" s="10" t="s">
        <v>440</v>
      </c>
      <c r="D211" s="11">
        <f t="shared" ref="D211:E211" si="211">IF(MOD(F211, 5) &lt;= 2.5, FLOOR(F211, 5), CEILING(F211, 5))</f>
        <v>130</v>
      </c>
      <c r="E211" s="11">
        <f t="shared" si="211"/>
        <v>195</v>
      </c>
      <c r="F211" s="11">
        <f>IFERROR((VLOOKUP(B211, Roccia!$B$2:$D997, 3, FALSE)*(1+Datos!$E$1)), "Revisar")</f>
        <v>130</v>
      </c>
      <c r="G211" s="11">
        <f>IFERROR(F211*Datos!$B$3, "Revisar")</f>
        <v>195</v>
      </c>
      <c r="H211" s="12">
        <f>IFERROR(G211*Datos!$B$1, "Revisar")</f>
        <v>112621.4895</v>
      </c>
      <c r="I211" s="13">
        <f>IFERROR((VLOOKUP(B211, Roccia!$B$2:$D997, 3, FALSE) /(1-Datos!$E$1)), "Revisar")</f>
        <v>142.8571429</v>
      </c>
      <c r="J211" s="13">
        <f>IFERROR(I211*Datos!$B$3, "Revisar")</f>
        <v>214.2857143</v>
      </c>
      <c r="K211" s="13">
        <f t="shared" si="3"/>
        <v>19.28571429</v>
      </c>
    </row>
    <row r="212">
      <c r="A212" s="8" t="s">
        <v>438</v>
      </c>
      <c r="B212" s="9" t="s">
        <v>441</v>
      </c>
      <c r="C212" s="10" t="s">
        <v>442</v>
      </c>
      <c r="D212" s="11">
        <f t="shared" ref="D212:E212" si="212">IF(MOD(F212, 5) &lt;= 2.5, FLOOR(F212, 5), CEILING(F212, 5))</f>
        <v>165</v>
      </c>
      <c r="E212" s="11">
        <f t="shared" si="212"/>
        <v>245</v>
      </c>
      <c r="F212" s="11">
        <f>IFERROR((VLOOKUP(B212, Roccia!$B$2:$D997, 3, FALSE)*(1+Datos!$E$1)), "Revisar")</f>
        <v>162.955</v>
      </c>
      <c r="G212" s="11">
        <f>IFERROR(F212*Datos!$B$3, "Revisar")</f>
        <v>244.4325</v>
      </c>
      <c r="H212" s="12">
        <f>IFERROR(G212*Datos!$B$1, "Revisar")</f>
        <v>141171.0371</v>
      </c>
      <c r="I212" s="13">
        <f>IFERROR((VLOOKUP(B212, Roccia!$B$2:$D997, 3, FALSE) /(1-Datos!$E$1)), "Revisar")</f>
        <v>179.0714286</v>
      </c>
      <c r="J212" s="13">
        <f>IFERROR(I212*Datos!$B$3, "Revisar")</f>
        <v>268.6071429</v>
      </c>
      <c r="K212" s="13">
        <f t="shared" si="3"/>
        <v>24.17464286</v>
      </c>
    </row>
    <row r="213">
      <c r="A213" s="8" t="s">
        <v>438</v>
      </c>
      <c r="B213" s="9" t="s">
        <v>443</v>
      </c>
      <c r="C213" s="10" t="s">
        <v>444</v>
      </c>
      <c r="D213" s="11">
        <f t="shared" ref="D213:E213" si="213">IF(MOD(F213, 5) &lt;= 2.5, FLOOR(F213, 5), CEILING(F213, 5))</f>
        <v>270</v>
      </c>
      <c r="E213" s="11">
        <f t="shared" si="213"/>
        <v>405</v>
      </c>
      <c r="F213" s="11">
        <f>IFERROR((VLOOKUP(B213, Roccia!$B$2:$D997, 3, FALSE)*(1+Datos!$E$1)), "Revisar")</f>
        <v>268.84</v>
      </c>
      <c r="G213" s="11">
        <f>IFERROR(F213*Datos!$B$3, "Revisar")</f>
        <v>403.26</v>
      </c>
      <c r="H213" s="12">
        <f>IFERROR(G213*Datos!$B$1, "Revisar")</f>
        <v>232901.2403</v>
      </c>
      <c r="I213" s="13">
        <f>IFERROR((VLOOKUP(B213, Roccia!$B$2:$D997, 3, FALSE) /(1-Datos!$E$1)), "Revisar")</f>
        <v>295.4285714</v>
      </c>
      <c r="J213" s="13">
        <f>IFERROR(I213*Datos!$B$3, "Revisar")</f>
        <v>443.1428571</v>
      </c>
      <c r="K213" s="13">
        <f t="shared" si="3"/>
        <v>39.88285714</v>
      </c>
    </row>
    <row r="214">
      <c r="A214" s="8" t="s">
        <v>438</v>
      </c>
      <c r="B214" s="9" t="s">
        <v>445</v>
      </c>
      <c r="C214" s="10" t="s">
        <v>446</v>
      </c>
      <c r="D214" s="11">
        <f t="shared" ref="D214:E214" si="214">IF(MOD(F214, 5) &lt;= 2.5, FLOOR(F214, 5), CEILING(F214, 5))</f>
        <v>310</v>
      </c>
      <c r="E214" s="11">
        <f t="shared" si="214"/>
        <v>465</v>
      </c>
      <c r="F214" s="11">
        <f>IFERROR((VLOOKUP(B214, Roccia!$B$2:$D997, 3, FALSE)*(1+Datos!$E$1)), "Revisar")</f>
        <v>310.31</v>
      </c>
      <c r="G214" s="11">
        <f>IFERROR(F214*Datos!$B$3, "Revisar")</f>
        <v>465.465</v>
      </c>
      <c r="H214" s="12">
        <f>IFERROR(G214*Datos!$B$1, "Revisar")</f>
        <v>268827.4954</v>
      </c>
      <c r="I214" s="13">
        <f>IFERROR((VLOOKUP(B214, Roccia!$B$2:$D997, 3, FALSE) /(1-Datos!$E$1)), "Revisar")</f>
        <v>341</v>
      </c>
      <c r="J214" s="13">
        <f>IFERROR(I214*Datos!$B$3, "Revisar")</f>
        <v>511.5</v>
      </c>
      <c r="K214" s="13">
        <f t="shared" si="3"/>
        <v>46.035</v>
      </c>
    </row>
    <row r="215">
      <c r="A215" s="8" t="s">
        <v>438</v>
      </c>
      <c r="B215" s="9" t="s">
        <v>447</v>
      </c>
      <c r="C215" s="10" t="s">
        <v>448</v>
      </c>
      <c r="D215" s="11">
        <f t="shared" ref="D215:E215" si="215">IF(MOD(F215, 5) &lt;= 2.5, FLOOR(F215, 5), CEILING(F215, 5))</f>
        <v>340</v>
      </c>
      <c r="E215" s="11">
        <f t="shared" si="215"/>
        <v>510</v>
      </c>
      <c r="F215" s="11">
        <f>IFERROR((VLOOKUP(B215, Roccia!$B$2:$D997, 3, FALSE)*(1+Datos!$E$1)), "Revisar")</f>
        <v>338.975</v>
      </c>
      <c r="G215" s="11">
        <f>IFERROR(F215*Datos!$B$3, "Revisar")</f>
        <v>508.4625</v>
      </c>
      <c r="H215" s="12">
        <f>IFERROR(G215*Datos!$B$1, "Revisar")</f>
        <v>293660.5339</v>
      </c>
      <c r="I215" s="13">
        <f>IFERROR((VLOOKUP(B215, Roccia!$B$2:$D997, 3, FALSE) /(1-Datos!$E$1)), "Revisar")</f>
        <v>372.5</v>
      </c>
      <c r="J215" s="13">
        <f>IFERROR(I215*Datos!$B$3, "Revisar")</f>
        <v>558.75</v>
      </c>
      <c r="K215" s="13">
        <f t="shared" si="3"/>
        <v>50.2875</v>
      </c>
    </row>
    <row r="216">
      <c r="A216" s="8" t="s">
        <v>438</v>
      </c>
      <c r="B216" s="9" t="s">
        <v>449</v>
      </c>
      <c r="C216" s="10" t="s">
        <v>450</v>
      </c>
      <c r="D216" s="11">
        <f t="shared" ref="D216:E216" si="216">IF(MOD(F216, 5) &lt;= 2.5, FLOOR(F216, 5), CEILING(F216, 5))</f>
        <v>535</v>
      </c>
      <c r="E216" s="11">
        <f t="shared" si="216"/>
        <v>805</v>
      </c>
      <c r="F216" s="11">
        <f>IFERROR((VLOOKUP(B216, Roccia!$B$2:$D997, 3, FALSE)*(1+Datos!$E$1)), "Revisar")</f>
        <v>536.042</v>
      </c>
      <c r="G216" s="11">
        <f>IFERROR(F216*Datos!$B$3, "Revisar")</f>
        <v>804.063</v>
      </c>
      <c r="H216" s="12">
        <f>IFERROR(G216*Datos!$B$1, "Revisar")</f>
        <v>464383.4498</v>
      </c>
      <c r="I216" s="13">
        <f>IFERROR((VLOOKUP(B216, Roccia!$B$2:$D997, 3, FALSE) /(1-Datos!$E$1)), "Revisar")</f>
        <v>589.0571429</v>
      </c>
      <c r="J216" s="13">
        <f>IFERROR(I216*Datos!$B$3, "Revisar")</f>
        <v>883.5857143</v>
      </c>
      <c r="K216" s="13">
        <f t="shared" si="3"/>
        <v>79.52271429</v>
      </c>
    </row>
    <row r="217">
      <c r="A217" s="8" t="s">
        <v>438</v>
      </c>
      <c r="B217" s="9" t="s">
        <v>451</v>
      </c>
      <c r="C217" s="10" t="s">
        <v>452</v>
      </c>
      <c r="D217" s="11">
        <f t="shared" ref="D217:E217" si="217">IF(MOD(F217, 5) &lt;= 2.5, FLOOR(F217, 5), CEILING(F217, 5))</f>
        <v>35</v>
      </c>
      <c r="E217" s="11">
        <f t="shared" si="217"/>
        <v>50</v>
      </c>
      <c r="F217" s="11">
        <f>IFERROR((VLOOKUP(B217, Roccia!$B$2:$D997, 3, FALSE)*(1+Datos!$E$1)), "Revisar")</f>
        <v>34.515</v>
      </c>
      <c r="G217" s="11">
        <f>IFERROR(F217*Datos!$B$3, "Revisar")</f>
        <v>51.7725</v>
      </c>
      <c r="H217" s="12">
        <f>IFERROR(G217*Datos!$B$1, "Revisar")</f>
        <v>29901.00546</v>
      </c>
      <c r="I217" s="13">
        <f>IFERROR((VLOOKUP(B217, Roccia!$B$2:$D997, 3, FALSE) /(1-Datos!$E$1)), "Revisar")</f>
        <v>37.92857143</v>
      </c>
      <c r="J217" s="13">
        <f>IFERROR(I217*Datos!$B$3, "Revisar")</f>
        <v>56.89285714</v>
      </c>
      <c r="K217" s="13">
        <f t="shared" si="3"/>
        <v>5.120357143</v>
      </c>
    </row>
    <row r="218">
      <c r="A218" s="8" t="s">
        <v>438</v>
      </c>
      <c r="B218" s="9" t="s">
        <v>453</v>
      </c>
      <c r="C218" s="10" t="s">
        <v>454</v>
      </c>
      <c r="D218" s="11">
        <f t="shared" ref="D218:E218" si="218">IF(MOD(F218, 5) &lt;= 2.5, FLOOR(F218, 5), CEILING(F218, 5))</f>
        <v>235</v>
      </c>
      <c r="E218" s="11">
        <f t="shared" si="218"/>
        <v>355</v>
      </c>
      <c r="F218" s="11">
        <f>IFERROR((VLOOKUP(B218, Roccia!$B$2:$D997, 3, FALSE)*(1+Datos!$E$1)), "Revisar")</f>
        <v>236.873</v>
      </c>
      <c r="G218" s="11">
        <f>IFERROR(F218*Datos!$B$3, "Revisar")</f>
        <v>355.3095</v>
      </c>
      <c r="H218" s="12">
        <f>IFERROR(G218*Datos!$B$1, "Revisar")</f>
        <v>205207.616</v>
      </c>
      <c r="I218" s="13">
        <f>IFERROR((VLOOKUP(B218, Roccia!$B$2:$D997, 3, FALSE) /(1-Datos!$E$1)), "Revisar")</f>
        <v>260.3</v>
      </c>
      <c r="J218" s="13">
        <f>IFERROR(I218*Datos!$B$3, "Revisar")</f>
        <v>390.45</v>
      </c>
      <c r="K218" s="13">
        <f t="shared" si="3"/>
        <v>35.1405</v>
      </c>
    </row>
    <row r="219">
      <c r="A219" s="8" t="s">
        <v>438</v>
      </c>
      <c r="B219" s="9" t="s">
        <v>455</v>
      </c>
      <c r="C219" s="10" t="s">
        <v>456</v>
      </c>
      <c r="D219" s="11">
        <f t="shared" ref="D219:E219" si="219">IF(MOD(F219, 5) &lt;= 2.5, FLOOR(F219, 5), CEILING(F219, 5))</f>
        <v>215</v>
      </c>
      <c r="E219" s="11">
        <f t="shared" si="219"/>
        <v>320</v>
      </c>
      <c r="F219" s="11">
        <f>IFERROR((VLOOKUP(B219, Roccia!$B$2:$D997, 3, FALSE)*(1+Datos!$E$1)), "Revisar")</f>
        <v>212.641</v>
      </c>
      <c r="G219" s="11">
        <f>IFERROR(F219*Datos!$B$3, "Revisar")</f>
        <v>318.9615</v>
      </c>
      <c r="H219" s="12">
        <f>IFERROR(G219*Datos!$B$1, "Revisar")</f>
        <v>184214.9704</v>
      </c>
      <c r="I219" s="13">
        <f>IFERROR((VLOOKUP(B219, Roccia!$B$2:$D997, 3, FALSE) /(1-Datos!$E$1)), "Revisar")</f>
        <v>233.6714286</v>
      </c>
      <c r="J219" s="13">
        <f>IFERROR(I219*Datos!$B$3, "Revisar")</f>
        <v>350.5071429</v>
      </c>
      <c r="K219" s="13">
        <f t="shared" si="3"/>
        <v>31.54564286</v>
      </c>
    </row>
    <row r="220">
      <c r="A220" s="8" t="s">
        <v>457</v>
      </c>
      <c r="B220" s="9" t="s">
        <v>458</v>
      </c>
      <c r="C220" s="10" t="s">
        <v>459</v>
      </c>
      <c r="D220" s="11">
        <f t="shared" ref="D220:E220" si="220">IF(MOD(F220, 5) &lt;= 2.5, FLOOR(F220, 5), CEILING(F220, 5))</f>
        <v>245</v>
      </c>
      <c r="E220" s="11">
        <f t="shared" si="220"/>
        <v>365</v>
      </c>
      <c r="F220" s="11">
        <f>IFERROR((VLOOKUP(B220, Roccia!$B$2:$D997, 3, FALSE)*(1+Datos!$E$1)), "Revisar")</f>
        <v>243.23</v>
      </c>
      <c r="G220" s="11">
        <f>IFERROR(F220*Datos!$B$3, "Revisar")</f>
        <v>364.845</v>
      </c>
      <c r="H220" s="12">
        <f>IFERROR(G220*Datos!$B$1, "Revisar")</f>
        <v>210714.8069</v>
      </c>
      <c r="I220" s="13">
        <f>IFERROR((VLOOKUP(B220, Roccia!$B$2:$D997, 3, FALSE) /(1-Datos!$E$1)), "Revisar")</f>
        <v>267.2857143</v>
      </c>
      <c r="J220" s="13">
        <f>IFERROR(I220*Datos!$B$3, "Revisar")</f>
        <v>400.9285714</v>
      </c>
      <c r="K220" s="13">
        <f t="shared" si="3"/>
        <v>36.08357143</v>
      </c>
    </row>
    <row r="221">
      <c r="A221" s="8" t="s">
        <v>457</v>
      </c>
      <c r="B221" s="9" t="s">
        <v>460</v>
      </c>
      <c r="C221" s="10" t="s">
        <v>461</v>
      </c>
      <c r="D221" s="11">
        <f t="shared" ref="D221:E221" si="221">IF(MOD(F221, 5) &lt;= 2.5, FLOOR(F221, 5), CEILING(F221, 5))</f>
        <v>70</v>
      </c>
      <c r="E221" s="11">
        <f t="shared" si="221"/>
        <v>105</v>
      </c>
      <c r="F221" s="11">
        <f>IFERROR((VLOOKUP(B221, Roccia!$B$2:$D997, 3, FALSE)*(1+Datos!$E$1)), "Revisar")</f>
        <v>71.565</v>
      </c>
      <c r="G221" s="11">
        <f>IFERROR(F221*Datos!$B$3, "Revisar")</f>
        <v>107.3475</v>
      </c>
      <c r="H221" s="12">
        <f>IFERROR(G221*Datos!$B$1, "Revisar")</f>
        <v>61998.12997</v>
      </c>
      <c r="I221" s="13">
        <f>IFERROR((VLOOKUP(B221, Roccia!$B$2:$D997, 3, FALSE) /(1-Datos!$E$1)), "Revisar")</f>
        <v>78.64285714</v>
      </c>
      <c r="J221" s="13">
        <f>IFERROR(I221*Datos!$B$3, "Revisar")</f>
        <v>117.9642857</v>
      </c>
      <c r="K221" s="13">
        <f t="shared" si="3"/>
        <v>10.61678571</v>
      </c>
    </row>
    <row r="222">
      <c r="A222" s="8" t="s">
        <v>457</v>
      </c>
      <c r="B222" s="9" t="s">
        <v>462</v>
      </c>
      <c r="C222" s="10" t="s">
        <v>463</v>
      </c>
      <c r="D222" s="11">
        <f t="shared" ref="D222:E222" si="222">IF(MOD(F222, 5) &lt;= 2.5, FLOOR(F222, 5), CEILING(F222, 5))</f>
        <v>115</v>
      </c>
      <c r="E222" s="11">
        <f t="shared" si="222"/>
        <v>170</v>
      </c>
      <c r="F222" s="11">
        <f>IFERROR((VLOOKUP(B222, Roccia!$B$2:$D997, 3, FALSE)*(1+Datos!$E$1)), "Revisar")</f>
        <v>114.491</v>
      </c>
      <c r="G222" s="11">
        <f>IFERROR(F222*Datos!$B$3, "Revisar")</f>
        <v>171.7365</v>
      </c>
      <c r="H222" s="12">
        <f>IFERROR(G222*Datos!$B$1, "Revisar")</f>
        <v>99185.7458</v>
      </c>
      <c r="I222" s="13">
        <f>IFERROR((VLOOKUP(B222, Roccia!$B$2:$D997, 3, FALSE) /(1-Datos!$E$1)), "Revisar")</f>
        <v>125.8142857</v>
      </c>
      <c r="J222" s="13">
        <f>IFERROR(I222*Datos!$B$3, "Revisar")</f>
        <v>188.7214286</v>
      </c>
      <c r="K222" s="13">
        <f t="shared" si="3"/>
        <v>16.98492857</v>
      </c>
    </row>
    <row r="223">
      <c r="A223" s="8" t="s">
        <v>457</v>
      </c>
      <c r="B223" s="9" t="s">
        <v>464</v>
      </c>
      <c r="C223" s="10" t="s">
        <v>465</v>
      </c>
      <c r="D223" s="11">
        <f t="shared" ref="D223:E223" si="223">IF(MOD(F223, 5) &lt;= 2.5, FLOOR(F223, 5), CEILING(F223, 5))</f>
        <v>150</v>
      </c>
      <c r="E223" s="11">
        <f t="shared" si="223"/>
        <v>225</v>
      </c>
      <c r="F223" s="11">
        <f>IFERROR((VLOOKUP(B223, Roccia!$B$2:$D997, 3, FALSE)*(1+Datos!$E$1)), "Revisar")</f>
        <v>151.476</v>
      </c>
      <c r="G223" s="11">
        <f>IFERROR(F223*Datos!$B$3, "Revisar")</f>
        <v>227.214</v>
      </c>
      <c r="H223" s="12">
        <f>IFERROR(G223*Datos!$B$1, "Revisar")</f>
        <v>131226.5596</v>
      </c>
      <c r="I223" s="13">
        <f>IFERROR((VLOOKUP(B223, Roccia!$B$2:$D997, 3, FALSE) /(1-Datos!$E$1)), "Revisar")</f>
        <v>166.4571429</v>
      </c>
      <c r="J223" s="13">
        <f>IFERROR(I223*Datos!$B$3, "Revisar")</f>
        <v>249.6857143</v>
      </c>
      <c r="K223" s="13">
        <f t="shared" si="3"/>
        <v>22.47171429</v>
      </c>
    </row>
    <row r="224">
      <c r="A224" s="8" t="s">
        <v>457</v>
      </c>
      <c r="B224" s="9" t="s">
        <v>466</v>
      </c>
      <c r="C224" s="10" t="s">
        <v>467</v>
      </c>
      <c r="D224" s="11">
        <f t="shared" ref="D224:E224" si="224">IF(MOD(F224, 5) &lt;= 2.5, FLOOR(F224, 5), CEILING(F224, 5))</f>
        <v>825</v>
      </c>
      <c r="E224" s="11">
        <f t="shared" si="224"/>
        <v>1235</v>
      </c>
      <c r="F224" s="11">
        <f>IFERROR((VLOOKUP(B224, Roccia!$B$2:$D997, 3, FALSE)*(1+Datos!$E$1)), "Revisar")</f>
        <v>824.967</v>
      </c>
      <c r="G224" s="11">
        <f>IFERROR(F224*Datos!$B$3, "Revisar")</f>
        <v>1237.4505</v>
      </c>
      <c r="H224" s="12">
        <f>IFERROR(G224*Datos!$B$1, "Revisar")</f>
        <v>714684.7102</v>
      </c>
      <c r="I224" s="13">
        <f>IFERROR((VLOOKUP(B224, Roccia!$B$2:$D997, 3, FALSE) /(1-Datos!$E$1)), "Revisar")</f>
        <v>906.5571429</v>
      </c>
      <c r="J224" s="13">
        <f>IFERROR(I224*Datos!$B$3, "Revisar")</f>
        <v>1359.835714</v>
      </c>
      <c r="K224" s="13">
        <f t="shared" si="3"/>
        <v>122.3852143</v>
      </c>
    </row>
    <row r="225">
      <c r="A225" s="8" t="s">
        <v>457</v>
      </c>
      <c r="B225" s="9" t="s">
        <v>468</v>
      </c>
      <c r="C225" s="10" t="s">
        <v>469</v>
      </c>
      <c r="D225" s="11">
        <f t="shared" ref="D225:E225" si="225">IF(MOD(F225, 5) &lt;= 2.5, FLOOR(F225, 5), CEILING(F225, 5))</f>
        <v>655</v>
      </c>
      <c r="E225" s="11">
        <f t="shared" si="225"/>
        <v>980</v>
      </c>
      <c r="F225" s="11">
        <f>IFERROR((VLOOKUP(B225, Roccia!$B$2:$D997, 3, FALSE)*(1+Datos!$E$1)), "Revisar")</f>
        <v>654.212</v>
      </c>
      <c r="G225" s="11">
        <f>IFERROR(F225*Datos!$B$3, "Revisar")</f>
        <v>981.318</v>
      </c>
      <c r="H225" s="12">
        <f>IFERROR(G225*Datos!$B$1, "Revisar")</f>
        <v>566756.3838</v>
      </c>
      <c r="I225" s="13">
        <f>IFERROR((VLOOKUP(B225, Roccia!$B$2:$D997, 3, FALSE) /(1-Datos!$E$1)), "Revisar")</f>
        <v>718.9142857</v>
      </c>
      <c r="J225" s="13">
        <f>IFERROR(I225*Datos!$B$3, "Revisar")</f>
        <v>1078.371429</v>
      </c>
      <c r="K225" s="13">
        <f t="shared" si="3"/>
        <v>97.05342857</v>
      </c>
    </row>
    <row r="226">
      <c r="A226" s="8" t="s">
        <v>457</v>
      </c>
      <c r="B226" s="9" t="s">
        <v>470</v>
      </c>
      <c r="C226" s="10" t="s">
        <v>471</v>
      </c>
      <c r="D226" s="11">
        <f t="shared" ref="D226:E226" si="226">IF(MOD(F226, 5) &lt;= 2.5, FLOOR(F226, 5), CEILING(F226, 5))</f>
        <v>795</v>
      </c>
      <c r="E226" s="11">
        <f t="shared" si="226"/>
        <v>1190</v>
      </c>
      <c r="F226" s="11">
        <f>IFERROR((VLOOKUP(B226, Roccia!$B$2:$D997, 3, FALSE)*(1+Datos!$E$1)), "Revisar")</f>
        <v>794.885</v>
      </c>
      <c r="G226" s="11">
        <f>IFERROR(F226*Datos!$B$3, "Revisar")</f>
        <v>1192.3275</v>
      </c>
      <c r="H226" s="12">
        <f>IFERROR(G226*Datos!$B$1, "Revisar")</f>
        <v>688624.0975</v>
      </c>
      <c r="I226" s="13">
        <f>IFERROR((VLOOKUP(B226, Roccia!$B$2:$D997, 3, FALSE) /(1-Datos!$E$1)), "Revisar")</f>
        <v>873.5</v>
      </c>
      <c r="J226" s="13">
        <f>IFERROR(I226*Datos!$B$3, "Revisar")</f>
        <v>1310.25</v>
      </c>
      <c r="K226" s="13">
        <f t="shared" si="3"/>
        <v>117.9225</v>
      </c>
    </row>
    <row r="227">
      <c r="A227" s="8" t="s">
        <v>457</v>
      </c>
      <c r="B227" s="9" t="s">
        <v>472</v>
      </c>
      <c r="C227" s="10" t="s">
        <v>473</v>
      </c>
      <c r="D227" s="11">
        <f t="shared" ref="D227:E227" si="227">IF(MOD(F227, 5) &lt;= 2.5, FLOOR(F227, 5), CEILING(F227, 5))</f>
        <v>135</v>
      </c>
      <c r="E227" s="11">
        <f t="shared" si="227"/>
        <v>205</v>
      </c>
      <c r="F227" s="11">
        <f>IFERROR((VLOOKUP(B227, Roccia!$B$2:$D997, 3, FALSE)*(1+Datos!$E$1)), "Revisar")</f>
        <v>135.668</v>
      </c>
      <c r="G227" s="11">
        <f>IFERROR(F227*Datos!$B$3, "Revisar")</f>
        <v>203.502</v>
      </c>
      <c r="H227" s="12">
        <f>IFERROR(G227*Datos!$B$1, "Revisar")</f>
        <v>117531.7864</v>
      </c>
      <c r="I227" s="13">
        <f>IFERROR((VLOOKUP(B227, Roccia!$B$2:$D997, 3, FALSE) /(1-Datos!$E$1)), "Revisar")</f>
        <v>149.0857143</v>
      </c>
      <c r="J227" s="13">
        <f>IFERROR(I227*Datos!$B$3, "Revisar")</f>
        <v>223.6285714</v>
      </c>
      <c r="K227" s="13">
        <f t="shared" si="3"/>
        <v>20.12657143</v>
      </c>
    </row>
    <row r="228">
      <c r="A228" s="8" t="s">
        <v>474</v>
      </c>
      <c r="B228" s="9" t="s">
        <v>475</v>
      </c>
      <c r="C228" s="10" t="s">
        <v>476</v>
      </c>
      <c r="D228" s="11">
        <f t="shared" ref="D228:E228" si="228">IF(MOD(F228, 5) &lt;= 2.5, FLOOR(F228, 5), CEILING(F228, 5))</f>
        <v>30</v>
      </c>
      <c r="E228" s="11">
        <f t="shared" si="228"/>
        <v>50</v>
      </c>
      <c r="F228" s="11">
        <f>IFERROR((VLOOKUP(B228, Roccia!$B$2:$D997, 3, FALSE)*(1+Datos!$E$1)), "Revisar")</f>
        <v>32.5</v>
      </c>
      <c r="G228" s="11">
        <f>IFERROR(F228*Datos!$B$3, "Revisar")</f>
        <v>48.75</v>
      </c>
      <c r="H228" s="12">
        <f>IFERROR(G228*Datos!$B$1, "Revisar")</f>
        <v>28155.37238</v>
      </c>
      <c r="I228" s="13">
        <f>IFERROR((VLOOKUP(B228, Roccia!$B$2:$D997, 3, FALSE) /(1-Datos!$E$1)), "Revisar")</f>
        <v>35.71428571</v>
      </c>
      <c r="J228" s="13">
        <f>IFERROR(I228*Datos!$B$3, "Revisar")</f>
        <v>53.57142857</v>
      </c>
      <c r="K228" s="13">
        <f t="shared" si="3"/>
        <v>4.821428571</v>
      </c>
    </row>
    <row r="229">
      <c r="A229" s="8" t="s">
        <v>474</v>
      </c>
      <c r="B229" s="9" t="s">
        <v>477</v>
      </c>
      <c r="C229" s="10" t="s">
        <v>478</v>
      </c>
      <c r="D229" s="11">
        <f t="shared" ref="D229:E229" si="229">IF(MOD(F229, 5) &lt;= 2.5, FLOOR(F229, 5), CEILING(F229, 5))</f>
        <v>60</v>
      </c>
      <c r="E229" s="11">
        <f t="shared" si="229"/>
        <v>90</v>
      </c>
      <c r="F229" s="11">
        <f>IFERROR((VLOOKUP(B229, Roccia!$B$2:$D997, 3, FALSE)*(1+Datos!$E$1)), "Revisar")</f>
        <v>60.476</v>
      </c>
      <c r="G229" s="11">
        <f>IFERROR(F229*Datos!$B$3, "Revisar")</f>
        <v>90.714</v>
      </c>
      <c r="H229" s="12">
        <f>IFERROR(G229*Datos!$B$1, "Revisar")</f>
        <v>52391.51692</v>
      </c>
      <c r="I229" s="13">
        <f>IFERROR((VLOOKUP(B229, Roccia!$B$2:$D997, 3, FALSE) /(1-Datos!$E$1)), "Revisar")</f>
        <v>66.45714286</v>
      </c>
      <c r="J229" s="13">
        <f>IFERROR(I229*Datos!$B$3, "Revisar")</f>
        <v>99.68571429</v>
      </c>
      <c r="K229" s="13">
        <f t="shared" si="3"/>
        <v>8.971714286</v>
      </c>
    </row>
    <row r="230">
      <c r="A230" s="8" t="s">
        <v>474</v>
      </c>
      <c r="B230" s="9" t="s">
        <v>479</v>
      </c>
      <c r="C230" s="10" t="s">
        <v>480</v>
      </c>
      <c r="D230" s="11">
        <f t="shared" ref="D230:E230" si="230">IF(MOD(F230, 5) &lt;= 2.5, FLOOR(F230, 5), CEILING(F230, 5))</f>
        <v>90</v>
      </c>
      <c r="E230" s="11">
        <f t="shared" si="230"/>
        <v>135</v>
      </c>
      <c r="F230" s="11">
        <f>IFERROR((VLOOKUP(B230, Roccia!$B$2:$D997, 3, FALSE)*(1+Datos!$E$1)), "Revisar")</f>
        <v>91</v>
      </c>
      <c r="G230" s="11">
        <f>IFERROR(F230*Datos!$B$3, "Revisar")</f>
        <v>136.5</v>
      </c>
      <c r="H230" s="12">
        <f>IFERROR(G230*Datos!$B$1, "Revisar")</f>
        <v>78835.04265</v>
      </c>
      <c r="I230" s="13">
        <f>IFERROR((VLOOKUP(B230, Roccia!$B$2:$D997, 3, FALSE) /(1-Datos!$E$1)), "Revisar")</f>
        <v>100</v>
      </c>
      <c r="J230" s="13">
        <f>IFERROR(I230*Datos!$B$3, "Revisar")</f>
        <v>150</v>
      </c>
      <c r="K230" s="13">
        <f t="shared" si="3"/>
        <v>13.5</v>
      </c>
    </row>
    <row r="231">
      <c r="A231" s="8" t="s">
        <v>474</v>
      </c>
      <c r="B231" s="9" t="s">
        <v>481</v>
      </c>
      <c r="C231" s="10" t="s">
        <v>482</v>
      </c>
      <c r="D231" s="11">
        <f t="shared" ref="D231:E231" si="231">IF(MOD(F231, 5) &lt;= 2.5, FLOOR(F231, 5), CEILING(F231, 5))</f>
        <v>45</v>
      </c>
      <c r="E231" s="11">
        <f t="shared" si="231"/>
        <v>65</v>
      </c>
      <c r="F231" s="11">
        <f>IFERROR((VLOOKUP(B231, Roccia!$B$2:$D997, 3, FALSE)*(1+Datos!$E$1)), "Revisar")</f>
        <v>44.239</v>
      </c>
      <c r="G231" s="11">
        <f>IFERROR(F231*Datos!$B$3, "Revisar")</f>
        <v>66.3585</v>
      </c>
      <c r="H231" s="12">
        <f>IFERROR(G231*Datos!$B$1, "Revisar")</f>
        <v>38325.09288</v>
      </c>
      <c r="I231" s="13">
        <f>IFERROR((VLOOKUP(B231, Roccia!$B$2:$D997, 3, FALSE) /(1-Datos!$E$1)), "Revisar")</f>
        <v>48.61428571</v>
      </c>
      <c r="J231" s="13">
        <f>IFERROR(I231*Datos!$B$3, "Revisar")</f>
        <v>72.92142857</v>
      </c>
      <c r="K231" s="13">
        <f t="shared" si="3"/>
        <v>6.562928571</v>
      </c>
    </row>
    <row r="232">
      <c r="A232" s="8" t="s">
        <v>474</v>
      </c>
      <c r="B232" s="9" t="s">
        <v>483</v>
      </c>
      <c r="C232" s="10" t="s">
        <v>484</v>
      </c>
      <c r="D232" s="11">
        <f t="shared" ref="D232:E232" si="232">IF(MOD(F232, 5) &lt;= 2.5, FLOOR(F232, 5), CEILING(F232, 5))</f>
        <v>210</v>
      </c>
      <c r="E232" s="11">
        <f t="shared" si="232"/>
        <v>315</v>
      </c>
      <c r="F232" s="11">
        <f>IFERROR((VLOOKUP(B232, Roccia!$B$2:$D997, 3, FALSE)*(1+Datos!$E$1)), "Revisar")</f>
        <v>208.546</v>
      </c>
      <c r="G232" s="11">
        <f>IFERROR(F232*Datos!$B$3, "Revisar")</f>
        <v>312.819</v>
      </c>
      <c r="H232" s="12">
        <f>IFERROR(G232*Datos!$B$1, "Revisar")</f>
        <v>180667.3935</v>
      </c>
      <c r="I232" s="13">
        <f>IFERROR((VLOOKUP(B232, Roccia!$B$2:$D997, 3, FALSE) /(1-Datos!$E$1)), "Revisar")</f>
        <v>229.1714286</v>
      </c>
      <c r="J232" s="13">
        <f>IFERROR(I232*Datos!$B$3, "Revisar")</f>
        <v>343.7571429</v>
      </c>
      <c r="K232" s="13">
        <f t="shared" si="3"/>
        <v>30.93814286</v>
      </c>
    </row>
    <row r="233">
      <c r="A233" s="8" t="s">
        <v>485</v>
      </c>
      <c r="B233" s="9" t="s">
        <v>486</v>
      </c>
      <c r="C233" s="10" t="s">
        <v>487</v>
      </c>
      <c r="D233" s="11">
        <f t="shared" ref="D233:E233" si="233">IF(MOD(F233, 5) &lt;= 2.5, FLOOR(F233, 5), CEILING(F233, 5))</f>
        <v>480</v>
      </c>
      <c r="E233" s="11">
        <f t="shared" si="233"/>
        <v>720</v>
      </c>
      <c r="F233" s="15">
        <v>480.0</v>
      </c>
      <c r="G233" s="11">
        <f>IFERROR(F233*Datos!$B$3, "Revisar")</f>
        <v>720</v>
      </c>
      <c r="H233" s="12">
        <f>IFERROR(G233*Datos!$B$1, "Revisar")</f>
        <v>415833.192</v>
      </c>
      <c r="I233" s="13">
        <f>IFERROR((VLOOKUP(B233, Roccia!$B$2:$D997, 3, FALSE) /(1-Datos!$E$1)), "Revisar")</f>
        <v>577.6571429</v>
      </c>
      <c r="J233" s="13">
        <f>IFERROR(I233*Datos!$B$3, "Revisar")</f>
        <v>866.4857143</v>
      </c>
      <c r="K233" s="13">
        <f t="shared" si="3"/>
        <v>146.4857143</v>
      </c>
    </row>
    <row r="234">
      <c r="A234" s="8" t="s">
        <v>485</v>
      </c>
      <c r="B234" s="9" t="s">
        <v>488</v>
      </c>
      <c r="C234" s="10" t="s">
        <v>489</v>
      </c>
      <c r="D234" s="11">
        <f t="shared" ref="D234:E234" si="234">IF(MOD(F234, 5) &lt;= 2.5, FLOOR(F234, 5), CEILING(F234, 5))</f>
        <v>760</v>
      </c>
      <c r="E234" s="11">
        <f t="shared" si="234"/>
        <v>1140</v>
      </c>
      <c r="F234" s="15">
        <v>760.0</v>
      </c>
      <c r="G234" s="11">
        <f>IFERROR(F234*Datos!$B$3, "Revisar")</f>
        <v>1140</v>
      </c>
      <c r="H234" s="12">
        <f>IFERROR(G234*Datos!$B$1, "Revisar")</f>
        <v>658402.554</v>
      </c>
      <c r="I234" s="13">
        <f>IFERROR((VLOOKUP(B234, Roccia!$B$2:$D997, 3, FALSE) /(1-Datos!$E$1)), "Revisar")</f>
        <v>967.1285714</v>
      </c>
      <c r="J234" s="13">
        <f>IFERROR(I234*Datos!$B$3, "Revisar")</f>
        <v>1450.692857</v>
      </c>
      <c r="K234" s="13">
        <f t="shared" si="3"/>
        <v>310.6928571</v>
      </c>
    </row>
    <row r="235">
      <c r="A235" s="8" t="s">
        <v>485</v>
      </c>
      <c r="B235" s="9" t="s">
        <v>490</v>
      </c>
      <c r="C235" s="10" t="s">
        <v>491</v>
      </c>
      <c r="D235" s="11">
        <f t="shared" ref="D235:E235" si="235">IF(MOD(F235, 5) &lt;= 2.5, FLOOR(F235, 5), CEILING(F235, 5))</f>
        <v>730</v>
      </c>
      <c r="E235" s="11">
        <f t="shared" si="235"/>
        <v>1095</v>
      </c>
      <c r="F235" s="11">
        <f>IFERROR((VLOOKUP(B235, Roccia!$B$2:$D997, 3, FALSE)*(1+Datos!$E$1)), "Revisar")</f>
        <v>728.533</v>
      </c>
      <c r="G235" s="11">
        <f>IFERROR(F235*Datos!$B$3, "Revisar")</f>
        <v>1092.7995</v>
      </c>
      <c r="H235" s="12">
        <f>IFERROR(G235*Datos!$B$1, "Revisar")</f>
        <v>631142.0893</v>
      </c>
      <c r="I235" s="13">
        <f>IFERROR((VLOOKUP(B235, Roccia!$B$2:$D997, 3, FALSE) /(1-Datos!$E$1)), "Revisar")</f>
        <v>800.5857143</v>
      </c>
      <c r="J235" s="13">
        <f>IFERROR(I235*Datos!$B$3, "Revisar")</f>
        <v>1200.878571</v>
      </c>
      <c r="K235" s="13">
        <f t="shared" si="3"/>
        <v>108.0790714</v>
      </c>
    </row>
    <row r="236">
      <c r="A236" s="8" t="s">
        <v>485</v>
      </c>
      <c r="B236" s="9" t="s">
        <v>492</v>
      </c>
      <c r="C236" s="10" t="s">
        <v>493</v>
      </c>
      <c r="D236" s="11">
        <f t="shared" ref="D236:E236" si="236">IF(MOD(F236, 5) &lt;= 2.5, FLOOR(F236, 5), CEILING(F236, 5))</f>
        <v>730</v>
      </c>
      <c r="E236" s="11">
        <f t="shared" si="236"/>
        <v>1095</v>
      </c>
      <c r="F236" s="11">
        <f>IFERROR((VLOOKUP(B236, Roccia!$B$2:$D997, 3, FALSE)*(1+Datos!$E$1)), "Revisar")</f>
        <v>728.533</v>
      </c>
      <c r="G236" s="11">
        <f>IFERROR(F236*Datos!$B$3, "Revisar")</f>
        <v>1092.7995</v>
      </c>
      <c r="H236" s="12">
        <f>IFERROR(G236*Datos!$B$1, "Revisar")</f>
        <v>631142.0893</v>
      </c>
      <c r="I236" s="13">
        <f>IFERROR((VLOOKUP(B236, Roccia!$B$2:$D997, 3, FALSE) /(1-Datos!$E$1)), "Revisar")</f>
        <v>800.5857143</v>
      </c>
      <c r="J236" s="13">
        <f>IFERROR(I236*Datos!$B$3, "Revisar")</f>
        <v>1200.878571</v>
      </c>
      <c r="K236" s="13">
        <f t="shared" si="3"/>
        <v>108.0790714</v>
      </c>
    </row>
    <row r="237">
      <c r="A237" s="8" t="s">
        <v>485</v>
      </c>
      <c r="B237" s="9" t="s">
        <v>494</v>
      </c>
      <c r="C237" s="10" t="s">
        <v>495</v>
      </c>
      <c r="D237" s="11">
        <f t="shared" ref="D237:E237" si="237">IF(MOD(F237, 5) &lt;= 2.5, FLOOR(F237, 5), CEILING(F237, 5))</f>
        <v>395</v>
      </c>
      <c r="E237" s="11">
        <f t="shared" si="237"/>
        <v>595</v>
      </c>
      <c r="F237" s="11">
        <f>IFERROR((VLOOKUP(B237, Roccia!$B$2:$D997, 3, FALSE)*(1+Datos!$E$1)), "Revisar")</f>
        <v>396.682</v>
      </c>
      <c r="G237" s="11">
        <f>IFERROR(F237*Datos!$B$3, "Revisar")</f>
        <v>595.023</v>
      </c>
      <c r="H237" s="12">
        <f>IFERROR(G237*Datos!$B$1, "Revisar")</f>
        <v>343653.2131</v>
      </c>
      <c r="I237" s="13">
        <f>IFERROR((VLOOKUP(B237, Roccia!$B$2:$D997, 3, FALSE) /(1-Datos!$E$1)), "Revisar")</f>
        <v>435.9142857</v>
      </c>
      <c r="J237" s="13">
        <f>IFERROR(I237*Datos!$B$3, "Revisar")</f>
        <v>653.8714286</v>
      </c>
      <c r="K237" s="13">
        <f t="shared" si="3"/>
        <v>58.84842857</v>
      </c>
    </row>
    <row r="238">
      <c r="A238" s="8" t="s">
        <v>485</v>
      </c>
      <c r="B238" s="9" t="s">
        <v>496</v>
      </c>
      <c r="C238" s="10" t="s">
        <v>497</v>
      </c>
      <c r="D238" s="11">
        <f t="shared" ref="D238:E238" si="238">IF(MOD(F238, 5) &lt;= 2.5, FLOOR(F238, 5), CEILING(F238, 5))</f>
        <v>1300</v>
      </c>
      <c r="E238" s="11">
        <f t="shared" si="238"/>
        <v>1950</v>
      </c>
      <c r="F238" s="11">
        <f>IFERROR((VLOOKUP(B238, Roccia!$B$2:$D997, 3, FALSE)*(1+Datos!$E$1)), "Revisar")</f>
        <v>1300</v>
      </c>
      <c r="G238" s="11">
        <f>IFERROR(F238*Datos!$B$3, "Revisar")</f>
        <v>1950</v>
      </c>
      <c r="H238" s="12">
        <f>IFERROR(G238*Datos!$B$1, "Revisar")</f>
        <v>1126214.895</v>
      </c>
      <c r="I238" s="13">
        <f>IFERROR((VLOOKUP(B238, Roccia!$B$2:$D997, 3, FALSE) /(1-Datos!$E$1)), "Revisar")</f>
        <v>1428.571429</v>
      </c>
      <c r="J238" s="13">
        <f>IFERROR(I238*Datos!$B$3, "Revisar")</f>
        <v>2142.857143</v>
      </c>
      <c r="K238" s="13">
        <f t="shared" si="3"/>
        <v>192.8571429</v>
      </c>
    </row>
    <row r="239">
      <c r="A239" s="8" t="s">
        <v>485</v>
      </c>
      <c r="B239" s="9" t="s">
        <v>498</v>
      </c>
      <c r="C239" s="10" t="s">
        <v>499</v>
      </c>
      <c r="D239" s="11">
        <f t="shared" ref="D239:E239" si="239">IF(MOD(F239, 5) &lt;= 2.5, FLOOR(F239, 5), CEILING(F239, 5))</f>
        <v>2270</v>
      </c>
      <c r="E239" s="11">
        <f t="shared" si="239"/>
        <v>3405</v>
      </c>
      <c r="F239" s="11">
        <f>IFERROR((VLOOKUP(B239, Roccia!$B$2:$D997, 3, FALSE)*(1+Datos!$E$1)), "Revisar")</f>
        <v>2270.125</v>
      </c>
      <c r="G239" s="11">
        <f>IFERROR(F239*Datos!$B$3, "Revisar")</f>
        <v>3405.1875</v>
      </c>
      <c r="H239" s="12">
        <f>IFERROR(G239*Datos!$B$1, "Revisar")</f>
        <v>1966652.76</v>
      </c>
      <c r="I239" s="13">
        <f>IFERROR((VLOOKUP(B239, Roccia!$B$2:$D997, 3, FALSE) /(1-Datos!$E$1)), "Revisar")</f>
        <v>2494.642857</v>
      </c>
      <c r="J239" s="13">
        <f>IFERROR(I239*Datos!$B$3, "Revisar")</f>
        <v>3741.964286</v>
      </c>
      <c r="K239" s="13">
        <f t="shared" si="3"/>
        <v>336.7767857</v>
      </c>
    </row>
    <row r="240">
      <c r="A240" s="8" t="s">
        <v>485</v>
      </c>
      <c r="B240" s="9" t="s">
        <v>500</v>
      </c>
      <c r="C240" s="10" t="s">
        <v>501</v>
      </c>
      <c r="D240" s="11">
        <f t="shared" ref="D240:E240" si="240">IF(MOD(F240, 5) &lt;= 2.5, FLOOR(F240, 5), CEILING(F240, 5))</f>
        <v>170</v>
      </c>
      <c r="E240" s="11">
        <f t="shared" si="240"/>
        <v>255</v>
      </c>
      <c r="F240" s="11">
        <f>IFERROR((VLOOKUP(B240, Roccia!$B$2:$D997, 3, FALSE)*(1+Datos!$E$1)), "Revisar")</f>
        <v>168.363</v>
      </c>
      <c r="G240" s="11">
        <f>IFERROR(F240*Datos!$B$3, "Revisar")</f>
        <v>252.5445</v>
      </c>
      <c r="H240" s="12">
        <f>IFERROR(G240*Datos!$B$1, "Revisar")</f>
        <v>145856.0911</v>
      </c>
      <c r="I240" s="13">
        <f>IFERROR((VLOOKUP(B240, Roccia!$B$2:$D997, 3, FALSE) /(1-Datos!$E$1)), "Revisar")</f>
        <v>185.0142857</v>
      </c>
      <c r="J240" s="13">
        <f>IFERROR(I240*Datos!$B$3, "Revisar")</f>
        <v>277.5214286</v>
      </c>
      <c r="K240" s="13">
        <f t="shared" si="3"/>
        <v>24.97692857</v>
      </c>
    </row>
    <row r="241">
      <c r="A241" s="8" t="s">
        <v>485</v>
      </c>
      <c r="B241" s="9" t="s">
        <v>502</v>
      </c>
      <c r="C241" s="10" t="s">
        <v>503</v>
      </c>
      <c r="D241" s="11">
        <f t="shared" ref="D241:E241" si="241">IF(MOD(F241, 5) &lt;= 2.5, FLOOR(F241, 5), CEILING(F241, 5))</f>
        <v>200</v>
      </c>
      <c r="E241" s="11">
        <f t="shared" si="241"/>
        <v>295</v>
      </c>
      <c r="F241" s="11">
        <f>IFERROR((VLOOKUP(B241, Roccia!$B$2:$D997, 3, FALSE)*(1+Datos!$E$1)), "Revisar")</f>
        <v>198.211</v>
      </c>
      <c r="G241" s="11">
        <f>IFERROR(F241*Datos!$B$3, "Revisar")</f>
        <v>297.3165</v>
      </c>
      <c r="H241" s="12">
        <f>IFERROR(G241*Datos!$B$1, "Revisar")</f>
        <v>171713.985</v>
      </c>
      <c r="I241" s="13">
        <f>IFERROR((VLOOKUP(B241, Roccia!$B$2:$D997, 3, FALSE) /(1-Datos!$E$1)), "Revisar")</f>
        <v>217.8142857</v>
      </c>
      <c r="J241" s="13">
        <f>IFERROR(I241*Datos!$B$3, "Revisar")</f>
        <v>326.7214286</v>
      </c>
      <c r="K241" s="13">
        <f t="shared" si="3"/>
        <v>29.40492857</v>
      </c>
    </row>
    <row r="242">
      <c r="A242" s="8" t="s">
        <v>485</v>
      </c>
      <c r="B242" s="9" t="s">
        <v>504</v>
      </c>
      <c r="C242" s="10" t="s">
        <v>505</v>
      </c>
      <c r="D242" s="11">
        <f t="shared" ref="D242:E242" si="242">IF(MOD(F242, 5) &lt;= 2.5, FLOOR(F242, 5), CEILING(F242, 5))</f>
        <v>860</v>
      </c>
      <c r="E242" s="11">
        <f t="shared" si="242"/>
        <v>1290</v>
      </c>
      <c r="F242" s="11">
        <f>IFERROR((VLOOKUP(B242, Roccia!$B$2:$D997, 3, FALSE)*(1+Datos!$E$1)), "Revisar")</f>
        <v>858.949</v>
      </c>
      <c r="G242" s="11">
        <f>IFERROR(F242*Datos!$B$3, "Revisar")</f>
        <v>1288.4235</v>
      </c>
      <c r="H242" s="12">
        <f>IFERROR(G242*Datos!$B$1, "Revisar")</f>
        <v>744123.9676</v>
      </c>
      <c r="I242" s="13">
        <f>IFERROR((VLOOKUP(B242, Roccia!$B$2:$D997, 3, FALSE) /(1-Datos!$E$1)), "Revisar")</f>
        <v>943.9</v>
      </c>
      <c r="J242" s="13">
        <f>IFERROR(I242*Datos!$B$3, "Revisar")</f>
        <v>1415.85</v>
      </c>
      <c r="K242" s="13">
        <f t="shared" si="3"/>
        <v>127.4265</v>
      </c>
    </row>
    <row r="243">
      <c r="A243" s="8" t="s">
        <v>485</v>
      </c>
      <c r="B243" s="9" t="s">
        <v>506</v>
      </c>
      <c r="C243" s="10" t="s">
        <v>507</v>
      </c>
      <c r="D243" s="11">
        <f t="shared" ref="D243:E243" si="243">IF(MOD(F243, 5) &lt;= 2.5, FLOOR(F243, 5), CEILING(F243, 5))</f>
        <v>215</v>
      </c>
      <c r="E243" s="11">
        <f t="shared" si="243"/>
        <v>325</v>
      </c>
      <c r="F243" s="11">
        <f>IFERROR((VLOOKUP(B243, Roccia!$B$2:$D997, 3, FALSE)*(1+Datos!$E$1)), "Revisar")</f>
        <v>215.54</v>
      </c>
      <c r="G243" s="11">
        <f>IFERROR(F243*Datos!$B$3, "Revisar")</f>
        <v>323.31</v>
      </c>
      <c r="H243" s="12">
        <f>IFERROR(G243*Datos!$B$1, "Revisar")</f>
        <v>186726.4296</v>
      </c>
      <c r="I243" s="13">
        <f>IFERROR((VLOOKUP(B243, Roccia!$B$2:$D997, 3, FALSE) /(1-Datos!$E$1)), "Revisar")</f>
        <v>236.8571429</v>
      </c>
      <c r="J243" s="13">
        <f>IFERROR(I243*Datos!$B$3, "Revisar")</f>
        <v>355.2857143</v>
      </c>
      <c r="K243" s="13">
        <f t="shared" si="3"/>
        <v>31.97571429</v>
      </c>
    </row>
    <row r="244">
      <c r="A244" s="8" t="s">
        <v>485</v>
      </c>
      <c r="B244" s="9" t="s">
        <v>508</v>
      </c>
      <c r="C244" s="10" t="s">
        <v>509</v>
      </c>
      <c r="D244" s="11">
        <f t="shared" ref="D244:E244" si="244">IF(MOD(F244, 5) &lt;= 2.5, FLOOR(F244, 5), CEILING(F244, 5))</f>
        <v>190</v>
      </c>
      <c r="E244" s="11">
        <f t="shared" si="244"/>
        <v>285</v>
      </c>
      <c r="F244" s="11">
        <f>IFERROR((VLOOKUP(B244, Roccia!$B$2:$D997, 3, FALSE)*(1+Datos!$E$1)), "Revisar")</f>
        <v>188.786</v>
      </c>
      <c r="G244" s="11">
        <f>IFERROR(F244*Datos!$B$3, "Revisar")</f>
        <v>283.179</v>
      </c>
      <c r="H244" s="12">
        <f>IFERROR(G244*Datos!$B$1, "Revisar")</f>
        <v>163548.9271</v>
      </c>
      <c r="I244" s="13">
        <f>IFERROR((VLOOKUP(B244, Roccia!$B$2:$D997, 3, FALSE) /(1-Datos!$E$1)), "Revisar")</f>
        <v>207.4571429</v>
      </c>
      <c r="J244" s="13">
        <f>IFERROR(I244*Datos!$B$3, "Revisar")</f>
        <v>311.1857143</v>
      </c>
      <c r="K244" s="13">
        <f t="shared" si="3"/>
        <v>28.00671429</v>
      </c>
    </row>
    <row r="245">
      <c r="A245" s="8" t="s">
        <v>485</v>
      </c>
      <c r="B245" s="9" t="s">
        <v>510</v>
      </c>
      <c r="C245" s="10" t="s">
        <v>511</v>
      </c>
      <c r="D245" s="11">
        <f t="shared" ref="D245:E245" si="245">IF(MOD(F245, 5) &lt;= 2.5, FLOOR(F245, 5), CEILING(F245, 5))</f>
        <v>200</v>
      </c>
      <c r="E245" s="11">
        <f t="shared" si="245"/>
        <v>295</v>
      </c>
      <c r="F245" s="11">
        <f>IFERROR((VLOOKUP(B245, Roccia!$B$2:$D997, 3, FALSE)*(1+Datos!$E$1)), "Revisar")</f>
        <v>197.613</v>
      </c>
      <c r="G245" s="11">
        <f>IFERROR(F245*Datos!$B$3, "Revisar")</f>
        <v>296.4195</v>
      </c>
      <c r="H245" s="12">
        <f>IFERROR(G245*Datos!$B$1, "Revisar")</f>
        <v>171195.9262</v>
      </c>
      <c r="I245" s="13">
        <f>IFERROR((VLOOKUP(B245, Roccia!$B$2:$D997, 3, FALSE) /(1-Datos!$E$1)), "Revisar")</f>
        <v>217.1571429</v>
      </c>
      <c r="J245" s="13">
        <f>IFERROR(I245*Datos!$B$3, "Revisar")</f>
        <v>325.7357143</v>
      </c>
      <c r="K245" s="13">
        <f t="shared" si="3"/>
        <v>29.31621429</v>
      </c>
    </row>
    <row r="246">
      <c r="A246" s="8" t="s">
        <v>485</v>
      </c>
      <c r="B246" s="9" t="s">
        <v>512</v>
      </c>
      <c r="C246" s="10" t="s">
        <v>513</v>
      </c>
      <c r="D246" s="11">
        <f t="shared" ref="D246:E246" si="246">IF(MOD(F246, 5) &lt;= 2.5, FLOOR(F246, 5), CEILING(F246, 5))</f>
        <v>245</v>
      </c>
      <c r="E246" s="11">
        <f t="shared" si="246"/>
        <v>370</v>
      </c>
      <c r="F246" s="11">
        <f>IFERROR((VLOOKUP(B246, Roccia!$B$2:$D997, 3, FALSE)*(1+Datos!$E$1)), "Revisar")</f>
        <v>246.922</v>
      </c>
      <c r="G246" s="11">
        <f>IFERROR(F246*Datos!$B$3, "Revisar")</f>
        <v>370.383</v>
      </c>
      <c r="H246" s="12">
        <f>IFERROR(G246*Datos!$B$1, "Revisar")</f>
        <v>213913.2572</v>
      </c>
      <c r="I246" s="13">
        <f>IFERROR((VLOOKUP(B246, Roccia!$B$2:$D997, 3, FALSE) /(1-Datos!$E$1)), "Revisar")</f>
        <v>271.3428571</v>
      </c>
      <c r="J246" s="13">
        <f>IFERROR(I246*Datos!$B$3, "Revisar")</f>
        <v>407.0142857</v>
      </c>
      <c r="K246" s="13">
        <f t="shared" si="3"/>
        <v>36.63128571</v>
      </c>
    </row>
    <row r="247">
      <c r="A247" s="8" t="s">
        <v>485</v>
      </c>
      <c r="B247" s="9" t="s">
        <v>514</v>
      </c>
      <c r="C247" s="10" t="s">
        <v>515</v>
      </c>
      <c r="D247" s="11">
        <f t="shared" ref="D247:E247" si="247">IF(MOD(F247, 5) &lt;= 2.5, FLOOR(F247, 5), CEILING(F247, 5))</f>
        <v>295</v>
      </c>
      <c r="E247" s="11">
        <f t="shared" si="247"/>
        <v>440</v>
      </c>
      <c r="F247" s="11">
        <f>IFERROR((VLOOKUP(B247, Roccia!$B$2:$D997, 3, FALSE)*(1+Datos!$E$1)), "Revisar")</f>
        <v>294.697</v>
      </c>
      <c r="G247" s="11">
        <f>IFERROR(F247*Datos!$B$3, "Revisar")</f>
        <v>442.0455</v>
      </c>
      <c r="H247" s="12">
        <f>IFERROR(G247*Datos!$B$1, "Revisar")</f>
        <v>255301.6545</v>
      </c>
      <c r="I247" s="13">
        <f>IFERROR((VLOOKUP(B247, Roccia!$B$2:$D997, 3, FALSE) /(1-Datos!$E$1)), "Revisar")</f>
        <v>323.8428571</v>
      </c>
      <c r="J247" s="13">
        <f>IFERROR(I247*Datos!$B$3, "Revisar")</f>
        <v>485.7642857</v>
      </c>
      <c r="K247" s="13">
        <f t="shared" si="3"/>
        <v>43.71878571</v>
      </c>
    </row>
    <row r="248">
      <c r="A248" s="8" t="s">
        <v>485</v>
      </c>
      <c r="B248" s="9" t="s">
        <v>516</v>
      </c>
      <c r="C248" s="10" t="s">
        <v>517</v>
      </c>
      <c r="D248" s="11">
        <f t="shared" ref="D248:E248" si="248">IF(MOD(F248, 5) &lt;= 2.5, FLOOR(F248, 5), CEILING(F248, 5))</f>
        <v>65</v>
      </c>
      <c r="E248" s="11">
        <f t="shared" si="248"/>
        <v>95</v>
      </c>
      <c r="F248" s="11">
        <f>IFERROR((VLOOKUP(B248, Roccia!$B$2:$D997, 3, FALSE)*(1+Datos!$E$1)), "Revisar")</f>
        <v>64.48</v>
      </c>
      <c r="G248" s="11">
        <f>IFERROR(F248*Datos!$B$3, "Revisar")</f>
        <v>96.72</v>
      </c>
      <c r="H248" s="12">
        <f>IFERROR(G248*Datos!$B$1, "Revisar")</f>
        <v>55860.25879</v>
      </c>
      <c r="I248" s="13">
        <f>IFERROR((VLOOKUP(B248, Roccia!$B$2:$D997, 3, FALSE) /(1-Datos!$E$1)), "Revisar")</f>
        <v>70.85714286</v>
      </c>
      <c r="J248" s="13">
        <f>IFERROR(I248*Datos!$B$3, "Revisar")</f>
        <v>106.2857143</v>
      </c>
      <c r="K248" s="13">
        <f t="shared" si="3"/>
        <v>9.565714286</v>
      </c>
    </row>
    <row r="249">
      <c r="A249" s="8" t="s">
        <v>485</v>
      </c>
      <c r="B249" s="9" t="s">
        <v>518</v>
      </c>
      <c r="C249" s="10" t="s">
        <v>519</v>
      </c>
      <c r="D249" s="11">
        <f t="shared" ref="D249:E249" si="249">IF(MOD(F249, 5) &lt;= 2.5, FLOOR(F249, 5), CEILING(F249, 5))</f>
        <v>75</v>
      </c>
      <c r="E249" s="11">
        <f t="shared" si="249"/>
        <v>115</v>
      </c>
      <c r="F249" s="11">
        <f>IFERROR((VLOOKUP(B249, Roccia!$B$2:$D997, 3, FALSE)*(1+Datos!$E$1)), "Revisar")</f>
        <v>77.077</v>
      </c>
      <c r="G249" s="11">
        <f>IFERROR(F249*Datos!$B$3, "Revisar")</f>
        <v>115.6155</v>
      </c>
      <c r="H249" s="12">
        <f>IFERROR(G249*Datos!$B$1, "Revisar")</f>
        <v>66773.28112</v>
      </c>
      <c r="I249" s="13">
        <f>IFERROR((VLOOKUP(B249, Roccia!$B$2:$D997, 3, FALSE) /(1-Datos!$E$1)), "Revisar")</f>
        <v>84.7</v>
      </c>
      <c r="J249" s="13">
        <f>IFERROR(I249*Datos!$B$3, "Revisar")</f>
        <v>127.05</v>
      </c>
      <c r="K249" s="13">
        <f t="shared" si="3"/>
        <v>11.4345</v>
      </c>
    </row>
    <row r="250">
      <c r="A250" s="8" t="s">
        <v>485</v>
      </c>
      <c r="B250" s="9" t="s">
        <v>520</v>
      </c>
      <c r="C250" s="10" t="s">
        <v>521</v>
      </c>
      <c r="D250" s="11">
        <f t="shared" ref="D250:E250" si="250">IF(MOD(F250, 5) &lt;= 2.5, FLOOR(F250, 5), CEILING(F250, 5))</f>
        <v>105</v>
      </c>
      <c r="E250" s="11">
        <f t="shared" si="250"/>
        <v>155</v>
      </c>
      <c r="F250" s="11">
        <f>IFERROR((VLOOKUP(B250, Roccia!$B$2:$D997, 3, FALSE)*(1+Datos!$E$1)), "Revisar")</f>
        <v>102.934</v>
      </c>
      <c r="G250" s="11">
        <f>IFERROR(F250*Datos!$B$3, "Revisar")</f>
        <v>154.401</v>
      </c>
      <c r="H250" s="12">
        <f>IFERROR(G250*Datos!$B$1, "Revisar")</f>
        <v>89173.69539</v>
      </c>
      <c r="I250" s="13">
        <f>IFERROR((VLOOKUP(B250, Roccia!$B$2:$D997, 3, FALSE) /(1-Datos!$E$1)), "Revisar")</f>
        <v>113.1142857</v>
      </c>
      <c r="J250" s="13">
        <f>IFERROR(I250*Datos!$B$3, "Revisar")</f>
        <v>169.6714286</v>
      </c>
      <c r="K250" s="13">
        <f t="shared" si="3"/>
        <v>15.27042857</v>
      </c>
    </row>
    <row r="251">
      <c r="A251" s="8" t="s">
        <v>485</v>
      </c>
      <c r="B251" s="9" t="s">
        <v>522</v>
      </c>
      <c r="C251" s="10" t="s">
        <v>523</v>
      </c>
      <c r="D251" s="11">
        <f t="shared" ref="D251:E251" si="251">IF(MOD(F251, 5) &lt;= 2.5, FLOOR(F251, 5), CEILING(F251, 5))</f>
        <v>135</v>
      </c>
      <c r="E251" s="11">
        <f t="shared" si="251"/>
        <v>205</v>
      </c>
      <c r="F251" s="11">
        <f>IFERROR((VLOOKUP(B251, Roccia!$B$2:$D997, 3, FALSE)*(1+Datos!$E$1)), "Revisar")</f>
        <v>136.071</v>
      </c>
      <c r="G251" s="11">
        <f>IFERROR(F251*Datos!$B$3, "Revisar")</f>
        <v>204.1065</v>
      </c>
      <c r="H251" s="12">
        <f>IFERROR(G251*Datos!$B$1, "Revisar")</f>
        <v>117880.9131</v>
      </c>
      <c r="I251" s="13">
        <f>IFERROR((VLOOKUP(B251, Roccia!$B$2:$D997, 3, FALSE) /(1-Datos!$E$1)), "Revisar")</f>
        <v>149.5285714</v>
      </c>
      <c r="J251" s="13">
        <f>IFERROR(I251*Datos!$B$3, "Revisar")</f>
        <v>224.2928571</v>
      </c>
      <c r="K251" s="13">
        <f t="shared" si="3"/>
        <v>20.18635714</v>
      </c>
    </row>
    <row r="252">
      <c r="A252" s="8" t="s">
        <v>485</v>
      </c>
      <c r="B252" s="9" t="s">
        <v>524</v>
      </c>
      <c r="C252" s="10" t="s">
        <v>525</v>
      </c>
      <c r="D252" s="11">
        <f t="shared" ref="D252:E252" si="252">IF(MOD(F252, 5) &lt;= 2.5, FLOOR(F252, 5), CEILING(F252, 5))</f>
        <v>290</v>
      </c>
      <c r="E252" s="11">
        <f t="shared" si="252"/>
        <v>435</v>
      </c>
      <c r="F252" s="11">
        <f>IFERROR((VLOOKUP(B252, Roccia!$B$2:$D997, 3, FALSE)*(1+Datos!$E$1)), "Revisar")</f>
        <v>289.458</v>
      </c>
      <c r="G252" s="11">
        <f>IFERROR(F252*Datos!$B$3, "Revisar")</f>
        <v>434.187</v>
      </c>
      <c r="H252" s="12">
        <f>IFERROR(G252*Datos!$B$1, "Revisar")</f>
        <v>250763.0085</v>
      </c>
      <c r="I252" s="13">
        <f>IFERROR((VLOOKUP(B252, Roccia!$B$2:$D997, 3, FALSE) /(1-Datos!$E$1)), "Revisar")</f>
        <v>318.0857143</v>
      </c>
      <c r="J252" s="13">
        <f>IFERROR(I252*Datos!$B$3, "Revisar")</f>
        <v>477.1285714</v>
      </c>
      <c r="K252" s="13">
        <f t="shared" si="3"/>
        <v>42.94157143</v>
      </c>
    </row>
    <row r="253">
      <c r="A253" s="8" t="s">
        <v>485</v>
      </c>
      <c r="B253" s="9" t="s">
        <v>526</v>
      </c>
      <c r="C253" s="10" t="s">
        <v>527</v>
      </c>
      <c r="D253" s="11">
        <f t="shared" ref="D253:E253" si="253">IF(MOD(F253, 5) &lt;= 2.5, FLOOR(F253, 5), CEILING(F253, 5))</f>
        <v>535</v>
      </c>
      <c r="E253" s="11">
        <f t="shared" si="253"/>
        <v>800</v>
      </c>
      <c r="F253" s="11">
        <f>IFERROR((VLOOKUP(B253, Roccia!$B$2:$D997, 3, FALSE)*(1+Datos!$E$1)), "Revisar")</f>
        <v>534.001</v>
      </c>
      <c r="G253" s="11">
        <f>IFERROR(F253*Datos!$B$3, "Revisar")</f>
        <v>801.0015</v>
      </c>
      <c r="H253" s="12">
        <f>IFERROR(G253*Datos!$B$1, "Revisar")</f>
        <v>462615.2924</v>
      </c>
      <c r="I253" s="13">
        <f>IFERROR((VLOOKUP(B253, Roccia!$B$2:$D997, 3, FALSE) /(1-Datos!$E$1)), "Revisar")</f>
        <v>586.8142857</v>
      </c>
      <c r="J253" s="13">
        <f>IFERROR(I253*Datos!$B$3, "Revisar")</f>
        <v>880.2214286</v>
      </c>
      <c r="K253" s="13">
        <f t="shared" si="3"/>
        <v>79.21992857</v>
      </c>
    </row>
    <row r="254">
      <c r="A254" s="8" t="s">
        <v>485</v>
      </c>
      <c r="B254" s="9" t="s">
        <v>528</v>
      </c>
      <c r="C254" s="10" t="s">
        <v>529</v>
      </c>
      <c r="D254" s="11">
        <f t="shared" ref="D254:E254" si="254">IF(MOD(F254, 5) &lt;= 2.5, FLOOR(F254, 5), CEILING(F254, 5))</f>
        <v>495</v>
      </c>
      <c r="E254" s="11">
        <f t="shared" si="254"/>
        <v>745</v>
      </c>
      <c r="F254" s="11">
        <f>IFERROR((VLOOKUP(B254, Roccia!$B$2:$D997, 3, FALSE)*(1+Datos!$E$1)), "Revisar")</f>
        <v>495.664</v>
      </c>
      <c r="G254" s="11">
        <f>IFERROR(F254*Datos!$B$3, "Revisar")</f>
        <v>743.496</v>
      </c>
      <c r="H254" s="12">
        <f>IFERROR(G254*Datos!$B$1, "Revisar")</f>
        <v>429403.2152</v>
      </c>
      <c r="I254" s="13">
        <f>IFERROR((VLOOKUP(B254, Roccia!$B$2:$D997, 3, FALSE) /(1-Datos!$E$1)), "Revisar")</f>
        <v>544.6857143</v>
      </c>
      <c r="J254" s="13">
        <f>IFERROR(I254*Datos!$B$3, "Revisar")</f>
        <v>817.0285714</v>
      </c>
      <c r="K254" s="13">
        <f t="shared" si="3"/>
        <v>73.53257143</v>
      </c>
    </row>
    <row r="255">
      <c r="A255" s="8" t="s">
        <v>485</v>
      </c>
      <c r="B255" s="9" t="s">
        <v>530</v>
      </c>
      <c r="C255" s="10" t="s">
        <v>531</v>
      </c>
      <c r="D255" s="11">
        <f t="shared" ref="D255:E255" si="255">IF(MOD(F255, 5) &lt;= 2.5, FLOOR(F255, 5), CEILING(F255, 5))</f>
        <v>930</v>
      </c>
      <c r="E255" s="11">
        <f t="shared" si="255"/>
        <v>1395</v>
      </c>
      <c r="F255" s="11">
        <f>IFERROR((VLOOKUP(B255, Roccia!$B$2:$D997, 3, FALSE)*(1+Datos!$E$1)), "Revisar")</f>
        <v>931.086</v>
      </c>
      <c r="G255" s="11">
        <f>IFERROR(F255*Datos!$B$3, "Revisar")</f>
        <v>1396.629</v>
      </c>
      <c r="H255" s="12">
        <f>IFERROR(G255*Datos!$B$1, "Revisar")</f>
        <v>806617.6321</v>
      </c>
      <c r="I255" s="13">
        <f>IFERROR((VLOOKUP(B255, Roccia!$B$2:$D997, 3, FALSE) /(1-Datos!$E$1)), "Revisar")</f>
        <v>1023.171429</v>
      </c>
      <c r="J255" s="13">
        <f>IFERROR(I255*Datos!$B$3, "Revisar")</f>
        <v>1534.757143</v>
      </c>
      <c r="K255" s="13">
        <f t="shared" si="3"/>
        <v>138.1281429</v>
      </c>
    </row>
    <row r="256">
      <c r="A256" s="8" t="s">
        <v>485</v>
      </c>
      <c r="B256" s="9" t="s">
        <v>532</v>
      </c>
      <c r="C256" s="10" t="s">
        <v>533</v>
      </c>
      <c r="D256" s="11">
        <f t="shared" ref="D256:E256" si="256">IF(MOD(F256, 5) &lt;= 2.5, FLOOR(F256, 5), CEILING(F256, 5))</f>
        <v>675</v>
      </c>
      <c r="E256" s="11">
        <f t="shared" si="256"/>
        <v>1010</v>
      </c>
      <c r="F256" s="11">
        <f>IFERROR((VLOOKUP(B256, Roccia!$B$2:$D997, 3, FALSE)*(1+Datos!$E$1)), "Revisar")</f>
        <v>673.088</v>
      </c>
      <c r="G256" s="11">
        <f>IFERROR(F256*Datos!$B$3, "Revisar")</f>
        <v>1009.632</v>
      </c>
      <c r="H256" s="12">
        <f>IFERROR(G256*Datos!$B$1, "Revisar")</f>
        <v>583109.024</v>
      </c>
      <c r="I256" s="13">
        <f>IFERROR((VLOOKUP(B256, Roccia!$B$2:$D997, 3, FALSE) /(1-Datos!$E$1)), "Revisar")</f>
        <v>739.6571429</v>
      </c>
      <c r="J256" s="13">
        <f>IFERROR(I256*Datos!$B$3, "Revisar")</f>
        <v>1109.485714</v>
      </c>
      <c r="K256" s="13">
        <f t="shared" si="3"/>
        <v>99.85371429</v>
      </c>
    </row>
    <row r="257">
      <c r="A257" s="8" t="s">
        <v>485</v>
      </c>
      <c r="B257" s="9" t="s">
        <v>534</v>
      </c>
      <c r="C257" s="10" t="s">
        <v>535</v>
      </c>
      <c r="D257" s="11">
        <f t="shared" ref="D257:E257" si="257">IF(MOD(F257, 5) &lt;= 2.5, FLOOR(F257, 5), CEILING(F257, 5))</f>
        <v>855</v>
      </c>
      <c r="E257" s="11">
        <f t="shared" si="257"/>
        <v>1280</v>
      </c>
      <c r="F257" s="11">
        <f>IFERROR((VLOOKUP(B257, Roccia!$B$2:$D997, 3, FALSE)*(1+Datos!$E$1)), "Revisar")</f>
        <v>854.399</v>
      </c>
      <c r="G257" s="11">
        <f>IFERROR(F257*Datos!$B$3, "Revisar")</f>
        <v>1281.5985</v>
      </c>
      <c r="H257" s="12">
        <f>IFERROR(G257*Datos!$B$1, "Revisar")</f>
        <v>740182.2154</v>
      </c>
      <c r="I257" s="13">
        <f>IFERROR((VLOOKUP(B257, Roccia!$B$2:$D997, 3, FALSE) /(1-Datos!$E$1)), "Revisar")</f>
        <v>938.9</v>
      </c>
      <c r="J257" s="13">
        <f>IFERROR(I257*Datos!$B$3, "Revisar")</f>
        <v>1408.35</v>
      </c>
      <c r="K257" s="13">
        <f t="shared" si="3"/>
        <v>126.7515</v>
      </c>
    </row>
    <row r="258">
      <c r="A258" s="8" t="s">
        <v>485</v>
      </c>
      <c r="B258" s="9" t="s">
        <v>536</v>
      </c>
      <c r="C258" s="10" t="s">
        <v>537</v>
      </c>
      <c r="D258" s="11">
        <f t="shared" ref="D258:E258" si="258">IF(MOD(F258, 5) &lt;= 2.5, FLOOR(F258, 5), CEILING(F258, 5))</f>
        <v>2405</v>
      </c>
      <c r="E258" s="11">
        <f t="shared" si="258"/>
        <v>3605</v>
      </c>
      <c r="F258" s="11">
        <f>IFERROR((VLOOKUP(B258, Roccia!$B$2:$D997, 3, FALSE)*(1+Datos!$E$1)), "Revisar")</f>
        <v>2405</v>
      </c>
      <c r="G258" s="11">
        <f>IFERROR(F258*Datos!$B$3, "Revisar")</f>
        <v>3607.5</v>
      </c>
      <c r="H258" s="12">
        <f>IFERROR(G258*Datos!$B$1, "Revisar")</f>
        <v>2083497.556</v>
      </c>
      <c r="I258" s="13">
        <f>IFERROR((VLOOKUP(B258, Roccia!$B$2:$D997, 3, FALSE) /(1-Datos!$E$1)), "Revisar")</f>
        <v>2642.857143</v>
      </c>
      <c r="J258" s="13">
        <f>IFERROR(I258*Datos!$B$3, "Revisar")</f>
        <v>3964.285714</v>
      </c>
      <c r="K258" s="13">
        <f t="shared" si="3"/>
        <v>356.7857143</v>
      </c>
    </row>
    <row r="259">
      <c r="A259" s="8" t="s">
        <v>485</v>
      </c>
      <c r="B259" s="9" t="s">
        <v>538</v>
      </c>
      <c r="C259" s="10" t="s">
        <v>539</v>
      </c>
      <c r="D259" s="11">
        <f t="shared" ref="D259:E259" si="259">IF(MOD(F259, 5) &lt;= 2.5, FLOOR(F259, 5), CEILING(F259, 5))</f>
        <v>2535</v>
      </c>
      <c r="E259" s="11">
        <f t="shared" si="259"/>
        <v>3800</v>
      </c>
      <c r="F259" s="11">
        <f>IFERROR((VLOOKUP(B259, Roccia!$B$2:$D997, 3, FALSE)*(1+Datos!$E$1)), "Revisar")</f>
        <v>2535</v>
      </c>
      <c r="G259" s="11">
        <f>IFERROR(F259*Datos!$B$3, "Revisar")</f>
        <v>3802.5</v>
      </c>
      <c r="H259" s="12">
        <f>IFERROR(G259*Datos!$B$1, "Revisar")</f>
        <v>2196119.045</v>
      </c>
      <c r="I259" s="13">
        <f>IFERROR((VLOOKUP(B259, Roccia!$B$2:$D997, 3, FALSE) /(1-Datos!$E$1)), "Revisar")</f>
        <v>2785.714286</v>
      </c>
      <c r="J259" s="13">
        <f>IFERROR(I259*Datos!$B$3, "Revisar")</f>
        <v>4178.571429</v>
      </c>
      <c r="K259" s="13">
        <f t="shared" si="3"/>
        <v>376.0714286</v>
      </c>
    </row>
    <row r="260">
      <c r="A260" s="8" t="s">
        <v>485</v>
      </c>
      <c r="B260" s="9" t="s">
        <v>540</v>
      </c>
      <c r="C260" s="10" t="s">
        <v>541</v>
      </c>
      <c r="D260" s="11">
        <f t="shared" ref="D260:E260" si="260">IF(MOD(F260, 5) &lt;= 2.5, FLOOR(F260, 5), CEILING(F260, 5))</f>
        <v>6435</v>
      </c>
      <c r="E260" s="11">
        <f t="shared" si="260"/>
        <v>9655</v>
      </c>
      <c r="F260" s="11">
        <f>IFERROR((VLOOKUP(B260, Roccia!$B$2:$D997, 3, FALSE)*(1+Datos!$E$1)), "Revisar")</f>
        <v>6435.819</v>
      </c>
      <c r="G260" s="11">
        <f>IFERROR(F260*Datos!$B$3, "Revisar")</f>
        <v>9653.7285</v>
      </c>
      <c r="H260" s="12">
        <f>IFERROR(G260*Datos!$B$1, "Revisar")</f>
        <v>5575473.246</v>
      </c>
      <c r="I260" s="13">
        <f>IFERROR((VLOOKUP(B260, Roccia!$B$2:$D997, 3, FALSE) /(1-Datos!$E$1)), "Revisar")</f>
        <v>7072.328571</v>
      </c>
      <c r="J260" s="13">
        <f>IFERROR(I260*Datos!$B$3, "Revisar")</f>
        <v>10608.49286</v>
      </c>
      <c r="K260" s="13">
        <f t="shared" si="3"/>
        <v>954.7643571</v>
      </c>
    </row>
    <row r="261">
      <c r="A261" s="8" t="s">
        <v>485</v>
      </c>
      <c r="B261" s="9" t="s">
        <v>542</v>
      </c>
      <c r="C261" s="10" t="s">
        <v>543</v>
      </c>
      <c r="D261" s="11">
        <f t="shared" ref="D261:E261" si="261">IF(MOD(F261, 5) &lt;= 2.5, FLOOR(F261, 5), CEILING(F261, 5))</f>
        <v>5790</v>
      </c>
      <c r="E261" s="11">
        <f t="shared" si="261"/>
        <v>8685</v>
      </c>
      <c r="F261" s="11">
        <f>IFERROR((VLOOKUP(B261, Roccia!$B$2:$D997, 3, FALSE)*(1+Datos!$E$1)), "Revisar")</f>
        <v>5789.602</v>
      </c>
      <c r="G261" s="11">
        <f>IFERROR(F261*Datos!$B$3, "Revisar")</f>
        <v>8684.403</v>
      </c>
      <c r="H261" s="12">
        <f>IFERROR(G261*Datos!$B$1, "Revisar")</f>
        <v>5015643.083</v>
      </c>
      <c r="I261" s="13">
        <f>IFERROR((VLOOKUP(B261, Roccia!$B$2:$D997, 3, FALSE) /(1-Datos!$E$1)), "Revisar")</f>
        <v>6362.2</v>
      </c>
      <c r="J261" s="13">
        <f>IFERROR(I261*Datos!$B$3, "Revisar")</f>
        <v>9543.3</v>
      </c>
      <c r="K261" s="13">
        <f t="shared" si="3"/>
        <v>858.897</v>
      </c>
    </row>
    <row r="262">
      <c r="A262" s="8" t="s">
        <v>485</v>
      </c>
      <c r="B262" s="9" t="s">
        <v>544</v>
      </c>
      <c r="C262" s="10" t="s">
        <v>545</v>
      </c>
      <c r="D262" s="11">
        <f t="shared" ref="D262:E262" si="262">IF(MOD(F262, 5) &lt;= 2.5, FLOOR(F262, 5), CEILING(F262, 5))</f>
        <v>5015</v>
      </c>
      <c r="E262" s="11">
        <f t="shared" si="262"/>
        <v>7520</v>
      </c>
      <c r="F262" s="11">
        <f>IFERROR((VLOOKUP(B262, Roccia!$B$2:$D997, 3, FALSE)*(1+Datos!$E$1)), "Revisar")</f>
        <v>5014.347</v>
      </c>
      <c r="G262" s="11">
        <f>IFERROR(F262*Datos!$B$3, "Revisar")</f>
        <v>7521.5205</v>
      </c>
      <c r="H262" s="12">
        <f>IFERROR(G262*Datos!$B$1, "Revisar")</f>
        <v>4344024.831</v>
      </c>
      <c r="I262" s="13">
        <f>IFERROR((VLOOKUP(B262, Roccia!$B$2:$D997, 3, FALSE) /(1-Datos!$E$1)), "Revisar")</f>
        <v>5510.271429</v>
      </c>
      <c r="J262" s="13">
        <f>IFERROR(I262*Datos!$B$3, "Revisar")</f>
        <v>8265.407143</v>
      </c>
      <c r="K262" s="13">
        <f t="shared" si="3"/>
        <v>743.8866429</v>
      </c>
    </row>
    <row r="263">
      <c r="A263" s="8" t="s">
        <v>485</v>
      </c>
      <c r="B263" s="9" t="s">
        <v>546</v>
      </c>
      <c r="C263" s="10" t="s">
        <v>547</v>
      </c>
      <c r="D263" s="11">
        <f t="shared" ref="D263:E263" si="263">IF(MOD(F263, 5) &lt;= 2.5, FLOOR(F263, 5), CEILING(F263, 5))</f>
        <v>105</v>
      </c>
      <c r="E263" s="11">
        <f t="shared" si="263"/>
        <v>155</v>
      </c>
      <c r="F263" s="11">
        <f>IFERROR((VLOOKUP(B263, Roccia!$B$2:$D997, 3, FALSE)*(1+Datos!$E$1)), "Revisar")</f>
        <v>102.934</v>
      </c>
      <c r="G263" s="11">
        <f>IFERROR(F263*Datos!$B$3, "Revisar")</f>
        <v>154.401</v>
      </c>
      <c r="H263" s="12">
        <f>IFERROR(G263*Datos!$B$1, "Revisar")</f>
        <v>89173.69539</v>
      </c>
      <c r="I263" s="13">
        <f>IFERROR((VLOOKUP(B263, Roccia!$B$2:$D997, 3, FALSE) /(1-Datos!$E$1)), "Revisar")</f>
        <v>113.1142857</v>
      </c>
      <c r="J263" s="13">
        <f>IFERROR(I263*Datos!$B$3, "Revisar")</f>
        <v>169.6714286</v>
      </c>
      <c r="K263" s="13">
        <f t="shared" si="3"/>
        <v>15.27042857</v>
      </c>
    </row>
    <row r="264">
      <c r="A264" s="8" t="s">
        <v>485</v>
      </c>
      <c r="B264" s="9" t="s">
        <v>548</v>
      </c>
      <c r="C264" s="10" t="s">
        <v>549</v>
      </c>
      <c r="D264" s="11">
        <f t="shared" ref="D264:E264" si="264">IF(MOD(F264, 5) &lt;= 2.5, FLOOR(F264, 5), CEILING(F264, 5))</f>
        <v>1435</v>
      </c>
      <c r="E264" s="11">
        <f t="shared" si="264"/>
        <v>2150</v>
      </c>
      <c r="F264" s="11">
        <f>IFERROR((VLOOKUP(B264, Roccia!$B$2:$D997, 3, FALSE)*(1+Datos!$E$1)), "Revisar")</f>
        <v>1434.667</v>
      </c>
      <c r="G264" s="11">
        <f>IFERROR(F264*Datos!$B$3, "Revisar")</f>
        <v>2152.0005</v>
      </c>
      <c r="H264" s="12">
        <f>IFERROR(G264*Datos!$B$1, "Revisar")</f>
        <v>1242879.496</v>
      </c>
      <c r="I264" s="13">
        <f>IFERROR((VLOOKUP(B264, Roccia!$B$2:$D997, 3, FALSE) /(1-Datos!$E$1)), "Revisar")</f>
        <v>1576.557143</v>
      </c>
      <c r="J264" s="13">
        <f>IFERROR(I264*Datos!$B$3, "Revisar")</f>
        <v>2364.835714</v>
      </c>
      <c r="K264" s="13">
        <f t="shared" si="3"/>
        <v>212.8352143</v>
      </c>
    </row>
    <row r="265">
      <c r="A265" s="8" t="s">
        <v>485</v>
      </c>
      <c r="B265" s="9" t="s">
        <v>550</v>
      </c>
      <c r="C265" s="10" t="s">
        <v>551</v>
      </c>
      <c r="D265" s="11">
        <f t="shared" ref="D265:E265" si="265">IF(MOD(F265, 5) &lt;= 2.5, FLOOR(F265, 5), CEILING(F265, 5))</f>
        <v>955</v>
      </c>
      <c r="E265" s="11">
        <f t="shared" si="265"/>
        <v>1430</v>
      </c>
      <c r="F265" s="11">
        <f>IFERROR((VLOOKUP(B265, Roccia!$B$2:$D997, 3, FALSE)*(1+Datos!$E$1)), "Revisar")</f>
        <v>952.874</v>
      </c>
      <c r="G265" s="11">
        <f>IFERROR(F265*Datos!$B$3, "Revisar")</f>
        <v>1429.311</v>
      </c>
      <c r="H265" s="12">
        <f>IFERROR(G265*Datos!$B$1, "Revisar")</f>
        <v>825492.9937</v>
      </c>
      <c r="I265" s="13">
        <f>IFERROR((VLOOKUP(B265, Roccia!$B$2:$D997, 3, FALSE) /(1-Datos!$E$1)), "Revisar")</f>
        <v>1047.114286</v>
      </c>
      <c r="J265" s="13">
        <f>IFERROR(I265*Datos!$B$3, "Revisar")</f>
        <v>1570.671429</v>
      </c>
      <c r="K265" s="13">
        <f t="shared" si="3"/>
        <v>141.3604286</v>
      </c>
    </row>
    <row r="266">
      <c r="A266" s="8" t="s">
        <v>485</v>
      </c>
      <c r="B266" s="9" t="s">
        <v>552</v>
      </c>
      <c r="C266" s="10" t="s">
        <v>553</v>
      </c>
      <c r="D266" s="11">
        <f t="shared" ref="D266:E266" si="266">IF(MOD(F266, 5) &lt;= 2.5, FLOOR(F266, 5), CEILING(F266, 5))</f>
        <v>2975</v>
      </c>
      <c r="E266" s="11">
        <f t="shared" si="266"/>
        <v>4460</v>
      </c>
      <c r="F266" s="11">
        <f>IFERROR((VLOOKUP(B266, Roccia!$B$2:$D997, 3, FALSE)*(1+Datos!$E$1)), "Revisar")</f>
        <v>2973.893</v>
      </c>
      <c r="G266" s="11">
        <f>IFERROR(F266*Datos!$B$3, "Revisar")</f>
        <v>4460.8395</v>
      </c>
      <c r="H266" s="12">
        <f>IFERROR(G266*Datos!$B$1, "Revisar")</f>
        <v>2576340.456</v>
      </c>
      <c r="I266" s="13">
        <f>IFERROR((VLOOKUP(B266, Roccia!$B$2:$D997, 3, FALSE) /(1-Datos!$E$1)), "Revisar")</f>
        <v>3268.014286</v>
      </c>
      <c r="J266" s="13">
        <f>IFERROR(I266*Datos!$B$3, "Revisar")</f>
        <v>4902.021429</v>
      </c>
      <c r="K266" s="13">
        <f t="shared" si="3"/>
        <v>441.1819286</v>
      </c>
    </row>
    <row r="267">
      <c r="A267" s="8" t="s">
        <v>485</v>
      </c>
      <c r="B267" s="9" t="s">
        <v>554</v>
      </c>
      <c r="C267" s="10" t="s">
        <v>555</v>
      </c>
      <c r="D267" s="11">
        <f t="shared" ref="D267:E267" si="267">IF(MOD(F267, 5) &lt;= 2.5, FLOOR(F267, 5), CEILING(F267, 5))</f>
        <v>3090</v>
      </c>
      <c r="E267" s="11">
        <f t="shared" si="267"/>
        <v>4630</v>
      </c>
      <c r="F267" s="11">
        <f>IFERROR((VLOOKUP(B267, Roccia!$B$2:$D997, 3, FALSE)*(1+Datos!$E$1)), "Revisar")</f>
        <v>3087.89</v>
      </c>
      <c r="G267" s="11">
        <f>IFERROR(F267*Datos!$B$3, "Revisar")</f>
        <v>4631.835</v>
      </c>
      <c r="H267" s="12">
        <f>IFERROR(G267*Datos!$B$1, "Revisar")</f>
        <v>2675098.24</v>
      </c>
      <c r="I267" s="13">
        <f>IFERROR((VLOOKUP(B267, Roccia!$B$2:$D997, 3, FALSE) /(1-Datos!$E$1)), "Revisar")</f>
        <v>3393.285714</v>
      </c>
      <c r="J267" s="13">
        <f>IFERROR(I267*Datos!$B$3, "Revisar")</f>
        <v>5089.928571</v>
      </c>
      <c r="K267" s="13">
        <f t="shared" si="3"/>
        <v>458.0935714</v>
      </c>
    </row>
    <row r="268">
      <c r="A268" s="8" t="s">
        <v>485</v>
      </c>
      <c r="B268" s="9" t="s">
        <v>556</v>
      </c>
      <c r="C268" s="10" t="s">
        <v>557</v>
      </c>
      <c r="D268" s="11">
        <f t="shared" ref="D268:E268" si="268">IF(MOD(F268, 5) &lt;= 2.5, FLOOR(F268, 5), CEILING(F268, 5))</f>
        <v>100</v>
      </c>
      <c r="E268" s="11">
        <f t="shared" si="268"/>
        <v>145</v>
      </c>
      <c r="F268" s="11">
        <f>IFERROR((VLOOKUP(B268, Roccia!$B$2:$D997, 3, FALSE)*(1+Datos!$E$1)), "Revisar")</f>
        <v>98.176</v>
      </c>
      <c r="G268" s="11">
        <f>IFERROR(F268*Datos!$B$3, "Revisar")</f>
        <v>147.264</v>
      </c>
      <c r="H268" s="12">
        <f>IFERROR(G268*Datos!$B$1, "Revisar")</f>
        <v>85051.74887</v>
      </c>
      <c r="I268" s="13">
        <f>IFERROR((VLOOKUP(B268, Roccia!$B$2:$D997, 3, FALSE) /(1-Datos!$E$1)), "Revisar")</f>
        <v>107.8857143</v>
      </c>
      <c r="J268" s="13">
        <f>IFERROR(I268*Datos!$B$3, "Revisar")</f>
        <v>161.8285714</v>
      </c>
      <c r="K268" s="13">
        <f t="shared" si="3"/>
        <v>14.56457143</v>
      </c>
    </row>
    <row r="269">
      <c r="A269" s="8" t="s">
        <v>485</v>
      </c>
      <c r="B269" s="9" t="s">
        <v>558</v>
      </c>
      <c r="C269" s="10" t="s">
        <v>559</v>
      </c>
      <c r="D269" s="11">
        <f t="shared" ref="D269:E269" si="269">IF(MOD(F269, 5) &lt;= 2.5, FLOOR(F269, 5), CEILING(F269, 5))</f>
        <v>130</v>
      </c>
      <c r="E269" s="11">
        <f t="shared" si="269"/>
        <v>195</v>
      </c>
      <c r="F269" s="11">
        <f>IFERROR((VLOOKUP(B269, Roccia!$B$2:$D997, 3, FALSE)*(1+Datos!$E$1)), "Revisar")</f>
        <v>131.495</v>
      </c>
      <c r="G269" s="11">
        <f>IFERROR(F269*Datos!$B$3, "Revisar")</f>
        <v>197.2425</v>
      </c>
      <c r="H269" s="12">
        <f>IFERROR(G269*Datos!$B$1, "Revisar")</f>
        <v>113916.6366</v>
      </c>
      <c r="I269" s="13">
        <f>IFERROR((VLOOKUP(B269, Roccia!$B$2:$D997, 3, FALSE) /(1-Datos!$E$1)), "Revisar")</f>
        <v>144.5</v>
      </c>
      <c r="J269" s="13">
        <f>IFERROR(I269*Datos!$B$3, "Revisar")</f>
        <v>216.75</v>
      </c>
      <c r="K269" s="13">
        <f t="shared" si="3"/>
        <v>19.5075</v>
      </c>
    </row>
    <row r="270">
      <c r="A270" s="8" t="s">
        <v>485</v>
      </c>
      <c r="B270" s="9" t="s">
        <v>560</v>
      </c>
      <c r="C270" s="10" t="s">
        <v>561</v>
      </c>
      <c r="D270" s="11">
        <f t="shared" ref="D270:E270" si="270">IF(MOD(F270, 5) &lt;= 2.5, FLOOR(F270, 5), CEILING(F270, 5))</f>
        <v>1665</v>
      </c>
      <c r="E270" s="11">
        <f t="shared" si="270"/>
        <v>2500</v>
      </c>
      <c r="F270" s="11">
        <f>IFERROR((VLOOKUP(B270, Roccia!$B$2:$D997, 3, FALSE)*(1+Datos!$E$1)), "Revisar")</f>
        <v>1666.119</v>
      </c>
      <c r="G270" s="11">
        <f>IFERROR(F270*Datos!$B$3, "Revisar")</f>
        <v>2499.1785</v>
      </c>
      <c r="H270" s="12">
        <f>IFERROR(G270*Datos!$B$1, "Revisar")</f>
        <v>1443390.796</v>
      </c>
      <c r="I270" s="13">
        <f>IFERROR((VLOOKUP(B270, Roccia!$B$2:$D997, 3, FALSE) /(1-Datos!$E$1)), "Revisar")</f>
        <v>1830.9</v>
      </c>
      <c r="J270" s="13">
        <f>IFERROR(I270*Datos!$B$3, "Revisar")</f>
        <v>2746.35</v>
      </c>
      <c r="K270" s="13">
        <f t="shared" si="3"/>
        <v>247.1715</v>
      </c>
    </row>
    <row r="271">
      <c r="A271" s="8" t="s">
        <v>485</v>
      </c>
      <c r="B271" s="9" t="s">
        <v>562</v>
      </c>
      <c r="C271" s="10" t="s">
        <v>563</v>
      </c>
      <c r="D271" s="11">
        <f t="shared" ref="D271:E271" si="271">IF(MOD(F271, 5) &lt;= 2.5, FLOOR(F271, 5), CEILING(F271, 5))</f>
        <v>2460</v>
      </c>
      <c r="E271" s="11">
        <f t="shared" si="271"/>
        <v>3695</v>
      </c>
      <c r="F271" s="11">
        <f>IFERROR((VLOOKUP(B271, Roccia!$B$2:$D997, 3, FALSE)*(1+Datos!$E$1)), "Revisar")</f>
        <v>2462.161</v>
      </c>
      <c r="G271" s="11">
        <f>IFERROR(F271*Datos!$B$3, "Revisar")</f>
        <v>3693.2415</v>
      </c>
      <c r="H271" s="12">
        <f>IFERROR(G271*Datos!$B$1, "Revisar")</f>
        <v>2133017.225</v>
      </c>
      <c r="I271" s="13">
        <f>IFERROR((VLOOKUP(B271, Roccia!$B$2:$D997, 3, FALSE) /(1-Datos!$E$1)), "Revisar")</f>
        <v>2705.671429</v>
      </c>
      <c r="J271" s="13">
        <f>IFERROR(I271*Datos!$B$3, "Revisar")</f>
        <v>4058.507143</v>
      </c>
      <c r="K271" s="13">
        <f t="shared" si="3"/>
        <v>365.2656429</v>
      </c>
    </row>
    <row r="272">
      <c r="A272" s="8" t="s">
        <v>485</v>
      </c>
      <c r="B272" s="9" t="s">
        <v>564</v>
      </c>
      <c r="C272" s="10" t="s">
        <v>565</v>
      </c>
      <c r="D272" s="11">
        <f t="shared" ref="D272:E272" si="272">IF(MOD(F272, 5) &lt;= 2.5, FLOOR(F272, 5), CEILING(F272, 5))</f>
        <v>1895</v>
      </c>
      <c r="E272" s="11">
        <f t="shared" si="272"/>
        <v>2840</v>
      </c>
      <c r="F272" s="11">
        <f>IFERROR((VLOOKUP(B272, Roccia!$B$2:$D997, 3, FALSE)*(1+Datos!$E$1)), "Revisar")</f>
        <v>1892.969</v>
      </c>
      <c r="G272" s="11">
        <f>IFERROR(F272*Datos!$B$3, "Revisar")</f>
        <v>2839.4535</v>
      </c>
      <c r="H272" s="12">
        <f>IFERROR(G272*Datos!$B$1, "Revisar")</f>
        <v>1639915.295</v>
      </c>
      <c r="I272" s="13">
        <f>IFERROR((VLOOKUP(B272, Roccia!$B$2:$D997, 3, FALSE) /(1-Datos!$E$1)), "Revisar")</f>
        <v>2080.185714</v>
      </c>
      <c r="J272" s="13">
        <f>IFERROR(I272*Datos!$B$3, "Revisar")</f>
        <v>3120.278571</v>
      </c>
      <c r="K272" s="13">
        <f t="shared" si="3"/>
        <v>280.8250714</v>
      </c>
    </row>
    <row r="273">
      <c r="A273" s="8" t="s">
        <v>485</v>
      </c>
      <c r="B273" s="9" t="s">
        <v>566</v>
      </c>
      <c r="C273" s="10" t="s">
        <v>567</v>
      </c>
      <c r="D273" s="11">
        <f t="shared" ref="D273:E273" si="273">IF(MOD(F273, 5) &lt;= 2.5, FLOOR(F273, 5), CEILING(F273, 5))</f>
        <v>130</v>
      </c>
      <c r="E273" s="11">
        <f t="shared" si="273"/>
        <v>195</v>
      </c>
      <c r="F273" s="11">
        <f>IFERROR((VLOOKUP(B273, Roccia!$B$2:$D997, 3, FALSE)*(1+Datos!$E$1)), "Revisar")</f>
        <v>130.624</v>
      </c>
      <c r="G273" s="11">
        <f>IFERROR(F273*Datos!$B$3, "Revisar")</f>
        <v>195.936</v>
      </c>
      <c r="H273" s="12">
        <f>IFERROR(G273*Datos!$B$1, "Revisar")</f>
        <v>113162.0726</v>
      </c>
      <c r="I273" s="13">
        <f>IFERROR((VLOOKUP(B273, Roccia!$B$2:$D997, 3, FALSE) /(1-Datos!$E$1)), "Revisar")</f>
        <v>143.5428571</v>
      </c>
      <c r="J273" s="13">
        <f>IFERROR(I273*Datos!$B$3, "Revisar")</f>
        <v>215.3142857</v>
      </c>
      <c r="K273" s="13">
        <f t="shared" si="3"/>
        <v>19.37828571</v>
      </c>
    </row>
    <row r="274">
      <c r="A274" s="8" t="s">
        <v>485</v>
      </c>
      <c r="B274" s="9" t="s">
        <v>568</v>
      </c>
      <c r="C274" s="10" t="s">
        <v>569</v>
      </c>
      <c r="D274" s="11">
        <f t="shared" ref="D274:E274" si="274">IF(MOD(F274, 5) &lt;= 2.5, FLOOR(F274, 5), CEILING(F274, 5))</f>
        <v>130</v>
      </c>
      <c r="E274" s="11">
        <f t="shared" si="274"/>
        <v>195</v>
      </c>
      <c r="F274" s="11">
        <f>IFERROR((VLOOKUP(B274, Roccia!$B$2:$D997, 3, FALSE)*(1+Datos!$E$1)), "Revisar")</f>
        <v>130.624</v>
      </c>
      <c r="G274" s="11">
        <f>IFERROR(F274*Datos!$B$3, "Revisar")</f>
        <v>195.936</v>
      </c>
      <c r="H274" s="12">
        <f>IFERROR(G274*Datos!$B$1, "Revisar")</f>
        <v>113162.0726</v>
      </c>
      <c r="I274" s="13">
        <f>IFERROR((VLOOKUP(B274, Roccia!$B$2:$D997, 3, FALSE) /(1-Datos!$E$1)), "Revisar")</f>
        <v>143.5428571</v>
      </c>
      <c r="J274" s="13">
        <f>IFERROR(I274*Datos!$B$3, "Revisar")</f>
        <v>215.3142857</v>
      </c>
      <c r="K274" s="13">
        <f t="shared" si="3"/>
        <v>19.37828571</v>
      </c>
    </row>
    <row r="275">
      <c r="A275" s="8" t="s">
        <v>485</v>
      </c>
      <c r="B275" s="9" t="s">
        <v>570</v>
      </c>
      <c r="C275" s="10" t="s">
        <v>571</v>
      </c>
      <c r="D275" s="11">
        <f t="shared" ref="D275:E275" si="275">IF(MOD(F275, 5) &lt;= 2.5, FLOOR(F275, 5), CEILING(F275, 5))</f>
        <v>1725</v>
      </c>
      <c r="E275" s="11">
        <f t="shared" si="275"/>
        <v>2590</v>
      </c>
      <c r="F275" s="11">
        <f>IFERROR((VLOOKUP(B275, Roccia!$B$2:$D997, 3, FALSE)*(1+Datos!$E$1)), "Revisar")</f>
        <v>1725.958</v>
      </c>
      <c r="G275" s="11">
        <f>IFERROR(F275*Datos!$B$3, "Revisar")</f>
        <v>2588.937</v>
      </c>
      <c r="H275" s="12">
        <f>IFERROR(G275*Datos!$B$1, "Revisar")</f>
        <v>1495230.467</v>
      </c>
      <c r="I275" s="13">
        <f>IFERROR((VLOOKUP(B275, Roccia!$B$2:$D997, 3, FALSE) /(1-Datos!$E$1)), "Revisar")</f>
        <v>1896.657143</v>
      </c>
      <c r="J275" s="13">
        <f>IFERROR(I275*Datos!$B$3, "Revisar")</f>
        <v>2844.985714</v>
      </c>
      <c r="K275" s="13">
        <f t="shared" si="3"/>
        <v>256.0487143</v>
      </c>
    </row>
    <row r="276">
      <c r="A276" s="8" t="s">
        <v>485</v>
      </c>
      <c r="B276" s="9" t="s">
        <v>572</v>
      </c>
      <c r="C276" s="10" t="s">
        <v>573</v>
      </c>
      <c r="D276" s="11">
        <f t="shared" ref="D276:E276" si="276">IF(MOD(F276, 5) &lt;= 2.5, FLOOR(F276, 5), CEILING(F276, 5))</f>
        <v>3555</v>
      </c>
      <c r="E276" s="11">
        <f t="shared" si="276"/>
        <v>5330</v>
      </c>
      <c r="F276" s="11">
        <f>IFERROR((VLOOKUP(B276, Roccia!$B$2:$D997, 3, FALSE)*(1+Datos!$E$1)), "Revisar")</f>
        <v>3553.537</v>
      </c>
      <c r="G276" s="11">
        <f>IFERROR(F276*Datos!$B$3, "Revisar")</f>
        <v>5330.3055</v>
      </c>
      <c r="H276" s="12">
        <f>IFERROR(G276*Datos!$B$1, "Revisar")</f>
        <v>3078497.153</v>
      </c>
      <c r="I276" s="13">
        <f>IFERROR((VLOOKUP(B276, Roccia!$B$2:$D997, 3, FALSE) /(1-Datos!$E$1)), "Revisar")</f>
        <v>3904.985714</v>
      </c>
      <c r="J276" s="13">
        <f>IFERROR(I276*Datos!$B$3, "Revisar")</f>
        <v>5857.478571</v>
      </c>
      <c r="K276" s="13">
        <f t="shared" si="3"/>
        <v>527.1730714</v>
      </c>
    </row>
    <row r="277">
      <c r="A277" s="8" t="s">
        <v>485</v>
      </c>
      <c r="B277" s="9" t="s">
        <v>574</v>
      </c>
      <c r="C277" s="10" t="s">
        <v>575</v>
      </c>
      <c r="D277" s="11">
        <f t="shared" ref="D277:E277" si="277">IF(MOD(F277, 5) &lt;= 2.5, FLOOR(F277, 5), CEILING(F277, 5))</f>
        <v>1655</v>
      </c>
      <c r="E277" s="11">
        <f t="shared" si="277"/>
        <v>2485</v>
      </c>
      <c r="F277" s="11">
        <f>IFERROR((VLOOKUP(B277, Roccia!$B$2:$D997, 3, FALSE)*(1+Datos!$E$1)), "Revisar")</f>
        <v>1656.876</v>
      </c>
      <c r="G277" s="11">
        <f>IFERROR(F277*Datos!$B$3, "Revisar")</f>
        <v>2485.314</v>
      </c>
      <c r="H277" s="12">
        <f>IFERROR(G277*Datos!$B$1, "Revisar")</f>
        <v>1435383.408</v>
      </c>
      <c r="I277" s="13">
        <f>IFERROR((VLOOKUP(B277, Roccia!$B$2:$D997, 3, FALSE) /(1-Datos!$E$1)), "Revisar")</f>
        <v>1820.742857</v>
      </c>
      <c r="J277" s="13">
        <f>IFERROR(I277*Datos!$B$3, "Revisar")</f>
        <v>2731.114286</v>
      </c>
      <c r="K277" s="13">
        <f t="shared" si="3"/>
        <v>245.8002857</v>
      </c>
    </row>
    <row r="278">
      <c r="A278" s="8" t="s">
        <v>485</v>
      </c>
      <c r="B278" s="9" t="s">
        <v>576</v>
      </c>
      <c r="C278" s="10" t="s">
        <v>577</v>
      </c>
      <c r="D278" s="11">
        <f t="shared" ref="D278:E278" si="278">IF(MOD(F278, 5) &lt;= 2.5, FLOOR(F278, 5), CEILING(F278, 5))</f>
        <v>125</v>
      </c>
      <c r="E278" s="11">
        <f t="shared" si="278"/>
        <v>185</v>
      </c>
      <c r="F278" s="11">
        <f>IFERROR((VLOOKUP(B278, Roccia!$B$2:$D997, 3, FALSE)*(1+Datos!$E$1)), "Revisar")</f>
        <v>123.266</v>
      </c>
      <c r="G278" s="11">
        <f>IFERROR(F278*Datos!$B$3, "Revisar")</f>
        <v>184.899</v>
      </c>
      <c r="H278" s="12">
        <f>IFERROR(G278*Datos!$B$1, "Revisar")</f>
        <v>106787.6963</v>
      </c>
      <c r="I278" s="13">
        <f>IFERROR((VLOOKUP(B278, Roccia!$B$2:$D997, 3, FALSE) /(1-Datos!$E$1)), "Revisar")</f>
        <v>135.4571429</v>
      </c>
      <c r="J278" s="13">
        <f>IFERROR(I278*Datos!$B$3, "Revisar")</f>
        <v>203.1857143</v>
      </c>
      <c r="K278" s="13">
        <f t="shared" si="3"/>
        <v>18.28671429</v>
      </c>
    </row>
    <row r="279">
      <c r="A279" s="8" t="s">
        <v>485</v>
      </c>
      <c r="B279" s="9" t="s">
        <v>578</v>
      </c>
      <c r="C279" s="10" t="s">
        <v>579</v>
      </c>
      <c r="D279" s="11">
        <f t="shared" ref="D279:E279" si="279">IF(MOD(F279, 5) &lt;= 2.5, FLOOR(F279, 5), CEILING(F279, 5))</f>
        <v>50</v>
      </c>
      <c r="E279" s="11">
        <f t="shared" si="279"/>
        <v>75</v>
      </c>
      <c r="F279" s="11">
        <f>IFERROR((VLOOKUP(B279, Roccia!$B$2:$D997, 3, FALSE)*(1+Datos!$E$1)), "Revisar")</f>
        <v>50.128</v>
      </c>
      <c r="G279" s="11">
        <f>IFERROR(F279*Datos!$B$3, "Revisar")</f>
        <v>75.192</v>
      </c>
      <c r="H279" s="12">
        <f>IFERROR(G279*Datos!$B$1, "Revisar")</f>
        <v>43426.84635</v>
      </c>
      <c r="I279" s="13">
        <f>IFERROR((VLOOKUP(B279, Roccia!$B$2:$D997, 3, FALSE) /(1-Datos!$E$1)), "Revisar")</f>
        <v>55.08571429</v>
      </c>
      <c r="J279" s="13">
        <f>IFERROR(I279*Datos!$B$3, "Revisar")</f>
        <v>82.62857143</v>
      </c>
      <c r="K279" s="13">
        <f t="shared" si="3"/>
        <v>7.436571429</v>
      </c>
    </row>
    <row r="280">
      <c r="A280" s="8" t="s">
        <v>485</v>
      </c>
      <c r="B280" s="9" t="s">
        <v>580</v>
      </c>
      <c r="C280" s="10" t="s">
        <v>581</v>
      </c>
      <c r="D280" s="11">
        <f t="shared" ref="D280:E280" si="280">IF(MOD(F280, 5) &lt;= 2.5, FLOOR(F280, 5), CEILING(F280, 5))</f>
        <v>100</v>
      </c>
      <c r="E280" s="11">
        <f t="shared" si="280"/>
        <v>150</v>
      </c>
      <c r="F280" s="11">
        <f>IFERROR((VLOOKUP(B280, Roccia!$B$2:$D997, 3, FALSE)*(1+Datos!$E$1)), "Revisar")</f>
        <v>98.67</v>
      </c>
      <c r="G280" s="11">
        <f>IFERROR(F280*Datos!$B$3, "Revisar")</f>
        <v>148.005</v>
      </c>
      <c r="H280" s="12">
        <f>IFERROR(G280*Datos!$B$1, "Revisar")</f>
        <v>85479.71053</v>
      </c>
      <c r="I280" s="13">
        <f>IFERROR((VLOOKUP(B280, Roccia!$B$2:$D997, 3, FALSE) /(1-Datos!$E$1)), "Revisar")</f>
        <v>108.4285714</v>
      </c>
      <c r="J280" s="13">
        <f>IFERROR(I280*Datos!$B$3, "Revisar")</f>
        <v>162.6428571</v>
      </c>
      <c r="K280" s="13">
        <f t="shared" si="3"/>
        <v>14.63785714</v>
      </c>
    </row>
    <row r="281">
      <c r="A281" s="8" t="s">
        <v>485</v>
      </c>
      <c r="B281" s="9" t="s">
        <v>582</v>
      </c>
      <c r="C281" s="10" t="s">
        <v>583</v>
      </c>
      <c r="D281" s="11">
        <f t="shared" ref="D281:E281" si="281">IF(MOD(F281, 5) &lt;= 2.5, FLOOR(F281, 5), CEILING(F281, 5))</f>
        <v>4145</v>
      </c>
      <c r="E281" s="11">
        <f t="shared" si="281"/>
        <v>6220</v>
      </c>
      <c r="F281" s="11">
        <f>IFERROR((VLOOKUP(B281, Roccia!$B$2:$D997, 3, FALSE)*(1+Datos!$E$1)), "Revisar")</f>
        <v>4146.519</v>
      </c>
      <c r="G281" s="11">
        <f>IFERROR(F281*Datos!$B$3, "Revisar")</f>
        <v>6219.7785</v>
      </c>
      <c r="H281" s="12">
        <f>IFERROR(G281*Datos!$B$1, "Revisar")</f>
        <v>3592208.816</v>
      </c>
      <c r="I281" s="13">
        <f>IFERROR((VLOOKUP(B281, Roccia!$B$2:$D997, 3, FALSE) /(1-Datos!$E$1)), "Revisar")</f>
        <v>4556.614286</v>
      </c>
      <c r="J281" s="13">
        <f>IFERROR(I281*Datos!$B$3, "Revisar")</f>
        <v>6834.921429</v>
      </c>
      <c r="K281" s="13">
        <f t="shared" si="3"/>
        <v>615.1429286</v>
      </c>
    </row>
    <row r="282">
      <c r="A282" s="8" t="s">
        <v>485</v>
      </c>
      <c r="B282" s="9" t="s">
        <v>584</v>
      </c>
      <c r="C282" s="10" t="s">
        <v>585</v>
      </c>
      <c r="D282" s="11">
        <f t="shared" ref="D282:E282" si="282">IF(MOD(F282, 5) &lt;= 2.5, FLOOR(F282, 5), CEILING(F282, 5))</f>
        <v>4815</v>
      </c>
      <c r="E282" s="11">
        <f t="shared" si="282"/>
        <v>7220</v>
      </c>
      <c r="F282" s="11">
        <f>IFERROR((VLOOKUP(B282, Roccia!$B$2:$D997, 3, FALSE)*(1+Datos!$E$1)), "Revisar")</f>
        <v>4813.9</v>
      </c>
      <c r="G282" s="11">
        <f>IFERROR(F282*Datos!$B$3, "Revisar")</f>
        <v>7220.85</v>
      </c>
      <c r="H282" s="12">
        <f>IFERROR(G282*Datos!$B$1, "Revisar")</f>
        <v>4170373.756</v>
      </c>
      <c r="I282" s="13">
        <f>IFERROR((VLOOKUP(B282, Roccia!$B$2:$D997, 3, FALSE) /(1-Datos!$E$1)), "Revisar")</f>
        <v>5290</v>
      </c>
      <c r="J282" s="13">
        <f>IFERROR(I282*Datos!$B$3, "Revisar")</f>
        <v>7935</v>
      </c>
      <c r="K282" s="13">
        <f t="shared" si="3"/>
        <v>714.15</v>
      </c>
    </row>
    <row r="283">
      <c r="A283" s="8" t="s">
        <v>485</v>
      </c>
      <c r="B283" s="9" t="s">
        <v>586</v>
      </c>
      <c r="C283" s="10" t="s">
        <v>587</v>
      </c>
      <c r="D283" s="11">
        <f t="shared" ref="D283:E283" si="283">IF(MOD(F283, 5) &lt;= 2.5, FLOOR(F283, 5), CEILING(F283, 5))</f>
        <v>1285</v>
      </c>
      <c r="E283" s="11">
        <f t="shared" si="283"/>
        <v>1925</v>
      </c>
      <c r="F283" s="11">
        <f>IFERROR((VLOOKUP(B283, Roccia!$B$2:$D997, 3, FALSE)*(1+Datos!$E$1)), "Revisar")</f>
        <v>1282.71</v>
      </c>
      <c r="G283" s="11">
        <f>IFERROR(F283*Datos!$B$3, "Revisar")</f>
        <v>1924.065</v>
      </c>
      <c r="H283" s="12">
        <f>IFERROR(G283*Datos!$B$1, "Revisar")</f>
        <v>1111236.237</v>
      </c>
      <c r="I283" s="13">
        <f>IFERROR((VLOOKUP(B283, Roccia!$B$2:$D997, 3, FALSE) /(1-Datos!$E$1)), "Revisar")</f>
        <v>1409.571429</v>
      </c>
      <c r="J283" s="13">
        <f>IFERROR(I283*Datos!$B$3, "Revisar")</f>
        <v>2114.357143</v>
      </c>
      <c r="K283" s="13">
        <f t="shared" si="3"/>
        <v>190.2921429</v>
      </c>
    </row>
    <row r="284">
      <c r="A284" s="8" t="s">
        <v>485</v>
      </c>
      <c r="B284" s="9" t="s">
        <v>588</v>
      </c>
      <c r="C284" s="10" t="s">
        <v>589</v>
      </c>
      <c r="D284" s="11">
        <f t="shared" ref="D284:E284" si="284">IF(MOD(F284, 5) &lt;= 2.5, FLOOR(F284, 5), CEILING(F284, 5))</f>
        <v>830</v>
      </c>
      <c r="E284" s="11">
        <f t="shared" si="284"/>
        <v>1240</v>
      </c>
      <c r="F284" s="11">
        <f>IFERROR((VLOOKUP(B284, Roccia!$B$2:$D997, 3, FALSE)*(1+Datos!$E$1)), "Revisar")</f>
        <v>828.035</v>
      </c>
      <c r="G284" s="11">
        <f>IFERROR(F284*Datos!$B$3, "Revisar")</f>
        <v>1242.0525</v>
      </c>
      <c r="H284" s="12">
        <f>IFERROR(G284*Datos!$B$1, "Revisar")</f>
        <v>717342.5774</v>
      </c>
      <c r="I284" s="13">
        <f>IFERROR((VLOOKUP(B284, Roccia!$B$2:$D997, 3, FALSE) /(1-Datos!$E$1)), "Revisar")</f>
        <v>909.9285714</v>
      </c>
      <c r="J284" s="13">
        <f>IFERROR(I284*Datos!$B$3, "Revisar")</f>
        <v>1364.892857</v>
      </c>
      <c r="K284" s="13">
        <f t="shared" si="3"/>
        <v>122.8403571</v>
      </c>
    </row>
    <row r="285">
      <c r="A285" s="8" t="s">
        <v>485</v>
      </c>
      <c r="B285" s="9" t="s">
        <v>590</v>
      </c>
      <c r="C285" s="10" t="s">
        <v>591</v>
      </c>
      <c r="D285" s="11">
        <f t="shared" ref="D285:E285" si="285">IF(MOD(F285, 5) &lt;= 2.5, FLOOR(F285, 5), CEILING(F285, 5))</f>
        <v>1580</v>
      </c>
      <c r="E285" s="11">
        <f t="shared" si="285"/>
        <v>2370</v>
      </c>
      <c r="F285" s="11">
        <f>IFERROR((VLOOKUP(B285, Roccia!$B$2:$D997, 3, FALSE)*(1+Datos!$E$1)), "Revisar")</f>
        <v>1580.839</v>
      </c>
      <c r="G285" s="11">
        <f>IFERROR(F285*Datos!$B$3, "Revisar")</f>
        <v>2371.2585</v>
      </c>
      <c r="H285" s="12">
        <f>IFERROR(G285*Datos!$B$1, "Revisar")</f>
        <v>1369511.099</v>
      </c>
      <c r="I285" s="13">
        <f>IFERROR((VLOOKUP(B285, Roccia!$B$2:$D997, 3, FALSE) /(1-Datos!$E$1)), "Revisar")</f>
        <v>1737.185714</v>
      </c>
      <c r="J285" s="13">
        <f>IFERROR(I285*Datos!$B$3, "Revisar")</f>
        <v>2605.778571</v>
      </c>
      <c r="K285" s="13">
        <f t="shared" si="3"/>
        <v>234.5200714</v>
      </c>
    </row>
    <row r="286">
      <c r="A286" s="8" t="s">
        <v>485</v>
      </c>
      <c r="B286" s="9" t="s">
        <v>592</v>
      </c>
      <c r="C286" s="10" t="s">
        <v>593</v>
      </c>
      <c r="D286" s="11">
        <f t="shared" ref="D286:E286" si="286">IF(MOD(F286, 5) &lt;= 2.5, FLOOR(F286, 5), CEILING(F286, 5))</f>
        <v>1580</v>
      </c>
      <c r="E286" s="11">
        <f t="shared" si="286"/>
        <v>2370</v>
      </c>
      <c r="F286" s="11">
        <f>IFERROR((VLOOKUP(B286, Roccia!$B$2:$D997, 3, FALSE)*(1+Datos!$E$1)), "Revisar")</f>
        <v>1580.839</v>
      </c>
      <c r="G286" s="11">
        <f>IFERROR(F286*Datos!$B$3, "Revisar")</f>
        <v>2371.2585</v>
      </c>
      <c r="H286" s="12">
        <f>IFERROR(G286*Datos!$B$1, "Revisar")</f>
        <v>1369511.099</v>
      </c>
      <c r="I286" s="13">
        <f>IFERROR((VLOOKUP(B286, Roccia!$B$2:$D997, 3, FALSE) /(1-Datos!$E$1)), "Revisar")</f>
        <v>1737.185714</v>
      </c>
      <c r="J286" s="13">
        <f>IFERROR(I286*Datos!$B$3, "Revisar")</f>
        <v>2605.778571</v>
      </c>
      <c r="K286" s="13">
        <f t="shared" si="3"/>
        <v>234.5200714</v>
      </c>
    </row>
    <row r="287">
      <c r="A287" s="8" t="s">
        <v>485</v>
      </c>
      <c r="B287" s="9" t="s">
        <v>594</v>
      </c>
      <c r="C287" s="10" t="s">
        <v>595</v>
      </c>
      <c r="D287" s="11">
        <f t="shared" ref="D287:E287" si="287">IF(MOD(F287, 5) &lt;= 2.5, FLOOR(F287, 5), CEILING(F287, 5))</f>
        <v>2075</v>
      </c>
      <c r="E287" s="11">
        <f t="shared" si="287"/>
        <v>3110</v>
      </c>
      <c r="F287" s="11">
        <f>IFERROR((VLOOKUP(B287, Roccia!$B$2:$D997, 3, FALSE)*(1+Datos!$E$1)), "Revisar")</f>
        <v>2073.292</v>
      </c>
      <c r="G287" s="11">
        <f>IFERROR(F287*Datos!$B$3, "Revisar")</f>
        <v>3109.938</v>
      </c>
      <c r="H287" s="12">
        <f>IFERROR(G287*Datos!$B$1, "Revisar")</f>
        <v>1796132.563</v>
      </c>
      <c r="I287" s="13">
        <f>IFERROR((VLOOKUP(B287, Roccia!$B$2:$D997, 3, FALSE) /(1-Datos!$E$1)), "Revisar")</f>
        <v>2278.342857</v>
      </c>
      <c r="J287" s="13">
        <f>IFERROR(I287*Datos!$B$3, "Revisar")</f>
        <v>3417.514286</v>
      </c>
      <c r="K287" s="13">
        <f t="shared" si="3"/>
        <v>307.5762857</v>
      </c>
    </row>
    <row r="288">
      <c r="A288" s="8" t="s">
        <v>485</v>
      </c>
      <c r="B288" s="9" t="s">
        <v>596</v>
      </c>
      <c r="C288" s="10" t="s">
        <v>597</v>
      </c>
      <c r="D288" s="11">
        <f t="shared" ref="D288:E288" si="288">IF(MOD(F288, 5) &lt;= 2.5, FLOOR(F288, 5), CEILING(F288, 5))</f>
        <v>1095</v>
      </c>
      <c r="E288" s="11">
        <f t="shared" si="288"/>
        <v>1640</v>
      </c>
      <c r="F288" s="11">
        <f>IFERROR((VLOOKUP(B288, Roccia!$B$2:$D997, 3, FALSE)*(1+Datos!$E$1)), "Revisar")</f>
        <v>1092.637</v>
      </c>
      <c r="G288" s="11">
        <f>IFERROR(F288*Datos!$B$3, "Revisar")</f>
        <v>1638.9555</v>
      </c>
      <c r="H288" s="12">
        <f>IFERROR(G288*Datos!$B$1, "Revisar")</f>
        <v>946572.3571</v>
      </c>
      <c r="I288" s="13">
        <f>IFERROR((VLOOKUP(B288, Roccia!$B$2:$D997, 3, FALSE) /(1-Datos!$E$1)), "Revisar")</f>
        <v>1200.7</v>
      </c>
      <c r="J288" s="13">
        <f>IFERROR(I288*Datos!$B$3, "Revisar")</f>
        <v>1801.05</v>
      </c>
      <c r="K288" s="13">
        <f t="shared" si="3"/>
        <v>162.0945</v>
      </c>
    </row>
    <row r="289">
      <c r="A289" s="8" t="s">
        <v>485</v>
      </c>
      <c r="B289" s="9" t="s">
        <v>598</v>
      </c>
      <c r="C289" s="10" t="s">
        <v>599</v>
      </c>
      <c r="D289" s="11">
        <f t="shared" ref="D289:E289" si="289">IF(MOD(F289, 5) &lt;= 2.5, FLOOR(F289, 5), CEILING(F289, 5))</f>
        <v>2270</v>
      </c>
      <c r="E289" s="11">
        <f t="shared" si="289"/>
        <v>3405</v>
      </c>
      <c r="F289" s="11">
        <f>IFERROR((VLOOKUP(B289, Roccia!$B$2:$D997, 3, FALSE)*(1+Datos!$E$1)), "Revisar")</f>
        <v>2269.137</v>
      </c>
      <c r="G289" s="11">
        <f>IFERROR(F289*Datos!$B$3, "Revisar")</f>
        <v>3403.7055</v>
      </c>
      <c r="H289" s="12">
        <f>IFERROR(G289*Datos!$B$1, "Revisar")</f>
        <v>1965796.837</v>
      </c>
      <c r="I289" s="13">
        <f>IFERROR((VLOOKUP(B289, Roccia!$B$2:$D997, 3, FALSE) /(1-Datos!$E$1)), "Revisar")</f>
        <v>2493.557143</v>
      </c>
      <c r="J289" s="13">
        <f>IFERROR(I289*Datos!$B$3, "Revisar")</f>
        <v>3740.335714</v>
      </c>
      <c r="K289" s="13">
        <f t="shared" si="3"/>
        <v>336.6302143</v>
      </c>
    </row>
    <row r="290">
      <c r="A290" s="8" t="s">
        <v>485</v>
      </c>
      <c r="B290" s="9" t="s">
        <v>600</v>
      </c>
      <c r="C290" s="10" t="s">
        <v>601</v>
      </c>
      <c r="D290" s="11">
        <f t="shared" ref="D290:E290" si="290">IF(MOD(F290, 5) &lt;= 2.5, FLOOR(F290, 5), CEILING(F290, 5))</f>
        <v>570</v>
      </c>
      <c r="E290" s="11">
        <f t="shared" si="290"/>
        <v>850</v>
      </c>
      <c r="F290" s="11">
        <f>IFERROR((VLOOKUP(B290, Roccia!$B$2:$D997, 3, FALSE)*(1+Datos!$E$1)), "Revisar")</f>
        <v>567.671</v>
      </c>
      <c r="G290" s="11">
        <f>IFERROR(F290*Datos!$B$3, "Revisar")</f>
        <v>851.5065</v>
      </c>
      <c r="H290" s="12">
        <f>IFERROR(G290*Datos!$B$1, "Revisar")</f>
        <v>491784.2582</v>
      </c>
      <c r="I290" s="13">
        <f>IFERROR((VLOOKUP(B290, Roccia!$B$2:$D997, 3, FALSE) /(1-Datos!$E$1)), "Revisar")</f>
        <v>623.8142857</v>
      </c>
      <c r="J290" s="13">
        <f>IFERROR(I290*Datos!$B$3, "Revisar")</f>
        <v>935.7214286</v>
      </c>
      <c r="K290" s="13">
        <f t="shared" si="3"/>
        <v>84.21492857</v>
      </c>
    </row>
    <row r="291">
      <c r="A291" s="8" t="s">
        <v>485</v>
      </c>
      <c r="B291" s="9" t="s">
        <v>602</v>
      </c>
      <c r="C291" s="10" t="s">
        <v>603</v>
      </c>
      <c r="D291" s="11">
        <f t="shared" ref="D291:E291" si="291">IF(MOD(F291, 5) &lt;= 2.5, FLOOR(F291, 5), CEILING(F291, 5))</f>
        <v>580</v>
      </c>
      <c r="E291" s="11">
        <f t="shared" si="291"/>
        <v>870</v>
      </c>
      <c r="F291" s="11">
        <f>IFERROR((VLOOKUP(B291, Roccia!$B$2:$D997, 3, FALSE)*(1+Datos!$E$1)), "Revisar")</f>
        <v>578.695</v>
      </c>
      <c r="G291" s="11">
        <f>IFERROR(F291*Datos!$B$3, "Revisar")</f>
        <v>868.0425</v>
      </c>
      <c r="H291" s="12">
        <f>IFERROR(G291*Datos!$B$1, "Revisar")</f>
        <v>501334.5605</v>
      </c>
      <c r="I291" s="13">
        <f>IFERROR((VLOOKUP(B291, Roccia!$B$2:$D997, 3, FALSE) /(1-Datos!$E$1)), "Revisar")</f>
        <v>635.9285714</v>
      </c>
      <c r="J291" s="13">
        <f>IFERROR(I291*Datos!$B$3, "Revisar")</f>
        <v>953.8928571</v>
      </c>
      <c r="K291" s="13">
        <f t="shared" si="3"/>
        <v>85.85035714</v>
      </c>
    </row>
    <row r="292">
      <c r="A292" s="8" t="s">
        <v>485</v>
      </c>
      <c r="B292" s="9" t="s">
        <v>604</v>
      </c>
      <c r="C292" s="10" t="s">
        <v>605</v>
      </c>
      <c r="D292" s="11">
        <f t="shared" ref="D292:E292" si="292">IF(MOD(F292, 5) &lt;= 2.5, FLOOR(F292, 5), CEILING(F292, 5))</f>
        <v>790</v>
      </c>
      <c r="E292" s="11">
        <f t="shared" si="292"/>
        <v>1180</v>
      </c>
      <c r="F292" s="11">
        <f>IFERROR((VLOOKUP(B292, Roccia!$B$2:$D997, 3, FALSE)*(1+Datos!$E$1)), "Revisar")</f>
        <v>788.021</v>
      </c>
      <c r="G292" s="11">
        <f>IFERROR(F292*Datos!$B$3, "Revisar")</f>
        <v>1182.0315</v>
      </c>
      <c r="H292" s="12">
        <f>IFERROR(G292*Datos!$B$1, "Revisar")</f>
        <v>682677.6829</v>
      </c>
      <c r="I292" s="13">
        <f>IFERROR((VLOOKUP(B292, Roccia!$B$2:$D997, 3, FALSE) /(1-Datos!$E$1)), "Revisar")</f>
        <v>865.9571429</v>
      </c>
      <c r="J292" s="13">
        <f>IFERROR(I292*Datos!$B$3, "Revisar")</f>
        <v>1298.935714</v>
      </c>
      <c r="K292" s="13">
        <f t="shared" si="3"/>
        <v>116.9042143</v>
      </c>
    </row>
    <row r="293">
      <c r="A293" s="8" t="s">
        <v>485</v>
      </c>
      <c r="B293" s="9" t="s">
        <v>606</v>
      </c>
      <c r="C293" s="10" t="s">
        <v>607</v>
      </c>
      <c r="D293" s="11">
        <f t="shared" ref="D293:E293" si="293">IF(MOD(F293, 5) &lt;= 2.5, FLOOR(F293, 5), CEILING(F293, 5))</f>
        <v>805</v>
      </c>
      <c r="E293" s="11">
        <f t="shared" si="293"/>
        <v>1205</v>
      </c>
      <c r="F293" s="11">
        <f>IFERROR((VLOOKUP(B293, Roccia!$B$2:$D997, 3, FALSE)*(1+Datos!$E$1)), "Revisar")</f>
        <v>802.763</v>
      </c>
      <c r="G293" s="11">
        <f>IFERROR(F293*Datos!$B$3, "Revisar")</f>
        <v>1204.1445</v>
      </c>
      <c r="H293" s="12">
        <f>IFERROR(G293*Datos!$B$1, "Revisar")</f>
        <v>695448.9598</v>
      </c>
      <c r="I293" s="13">
        <f>IFERROR((VLOOKUP(B293, Roccia!$B$2:$D997, 3, FALSE) /(1-Datos!$E$1)), "Revisar")</f>
        <v>882.1571429</v>
      </c>
      <c r="J293" s="13">
        <f>IFERROR(I293*Datos!$B$3, "Revisar")</f>
        <v>1323.235714</v>
      </c>
      <c r="K293" s="13">
        <f t="shared" si="3"/>
        <v>119.0912143</v>
      </c>
    </row>
    <row r="294">
      <c r="A294" s="8" t="s">
        <v>485</v>
      </c>
      <c r="B294" s="9" t="s">
        <v>608</v>
      </c>
      <c r="C294" s="10" t="s">
        <v>609</v>
      </c>
      <c r="D294" s="11">
        <f t="shared" ref="D294:E294" si="294">IF(MOD(F294, 5) &lt;= 2.5, FLOOR(F294, 5), CEILING(F294, 5))</f>
        <v>1065</v>
      </c>
      <c r="E294" s="11">
        <f t="shared" si="294"/>
        <v>1595</v>
      </c>
      <c r="F294" s="11">
        <f>IFERROR((VLOOKUP(B294, Roccia!$B$2:$D997, 3, FALSE)*(1+Datos!$E$1)), "Revisar")</f>
        <v>1062.737</v>
      </c>
      <c r="G294" s="11">
        <f>IFERROR(F294*Datos!$B$3, "Revisar")</f>
        <v>1594.1055</v>
      </c>
      <c r="H294" s="12">
        <f>IFERROR(G294*Datos!$B$1, "Revisar")</f>
        <v>920669.4145</v>
      </c>
      <c r="I294" s="13">
        <f>IFERROR((VLOOKUP(B294, Roccia!$B$2:$D997, 3, FALSE) /(1-Datos!$E$1)), "Revisar")</f>
        <v>1167.842857</v>
      </c>
      <c r="J294" s="13">
        <f>IFERROR(I294*Datos!$B$3, "Revisar")</f>
        <v>1751.764286</v>
      </c>
      <c r="K294" s="13">
        <f t="shared" si="3"/>
        <v>157.6587857</v>
      </c>
    </row>
    <row r="295">
      <c r="A295" s="8" t="s">
        <v>485</v>
      </c>
      <c r="B295" s="9" t="s">
        <v>610</v>
      </c>
      <c r="C295" s="10" t="s">
        <v>611</v>
      </c>
      <c r="D295" s="11">
        <f t="shared" ref="D295:E295" si="295">IF(MOD(F295, 5) &lt;= 2.5, FLOOR(F295, 5), CEILING(F295, 5))</f>
        <v>1345</v>
      </c>
      <c r="E295" s="11">
        <f t="shared" si="295"/>
        <v>2015</v>
      </c>
      <c r="F295" s="11">
        <f>IFERROR((VLOOKUP(B295, Roccia!$B$2:$D997, 3, FALSE)*(1+Datos!$E$1)), "Revisar")</f>
        <v>1344.772</v>
      </c>
      <c r="G295" s="11">
        <f>IFERROR(F295*Datos!$B$3, "Revisar")</f>
        <v>2017.158</v>
      </c>
      <c r="H295" s="12">
        <f>IFERROR(G295*Datos!$B$1, "Revisar")</f>
        <v>1165001.736</v>
      </c>
      <c r="I295" s="13">
        <f>IFERROR((VLOOKUP(B295, Roccia!$B$2:$D997, 3, FALSE) /(1-Datos!$E$1)), "Revisar")</f>
        <v>1477.771429</v>
      </c>
      <c r="J295" s="13">
        <f>IFERROR(I295*Datos!$B$3, "Revisar")</f>
        <v>2216.657143</v>
      </c>
      <c r="K295" s="13">
        <f t="shared" si="3"/>
        <v>199.4991429</v>
      </c>
    </row>
    <row r="296">
      <c r="A296" s="8" t="s">
        <v>485</v>
      </c>
      <c r="B296" s="9" t="s">
        <v>612</v>
      </c>
      <c r="C296" s="10" t="s">
        <v>613</v>
      </c>
      <c r="D296" s="11">
        <f t="shared" ref="D296:E296" si="296">IF(MOD(F296, 5) &lt;= 2.5, FLOOR(F296, 5), CEILING(F296, 5))</f>
        <v>520</v>
      </c>
      <c r="E296" s="11">
        <f t="shared" si="296"/>
        <v>780</v>
      </c>
      <c r="F296" s="11">
        <f>IFERROR((VLOOKUP(B296, Roccia!$B$2:$D997, 3, FALSE)*(1+Datos!$E$1)), "Revisar")</f>
        <v>521.3</v>
      </c>
      <c r="G296" s="11">
        <f>IFERROR(F296*Datos!$B$3, "Revisar")</f>
        <v>781.95</v>
      </c>
      <c r="H296" s="12">
        <f>IFERROR(G296*Datos!$B$1, "Revisar")</f>
        <v>451612.1729</v>
      </c>
      <c r="I296" s="13">
        <f>IFERROR((VLOOKUP(B296, Roccia!$B$2:$D997, 3, FALSE) /(1-Datos!$E$1)), "Revisar")</f>
        <v>572.8571429</v>
      </c>
      <c r="J296" s="13">
        <f>IFERROR(I296*Datos!$B$3, "Revisar")</f>
        <v>859.2857143</v>
      </c>
      <c r="K296" s="13">
        <f t="shared" si="3"/>
        <v>77.33571429</v>
      </c>
    </row>
    <row r="297">
      <c r="A297" s="8" t="s">
        <v>485</v>
      </c>
      <c r="B297" s="9" t="s">
        <v>614</v>
      </c>
      <c r="C297" s="10" t="s">
        <v>615</v>
      </c>
      <c r="D297" s="11">
        <f t="shared" ref="D297:E297" si="297">IF(MOD(F297, 5) &lt;= 2.5, FLOOR(F297, 5), CEILING(F297, 5))</f>
        <v>885</v>
      </c>
      <c r="E297" s="11">
        <f t="shared" si="297"/>
        <v>1330</v>
      </c>
      <c r="F297" s="11">
        <f>IFERROR((VLOOKUP(B297, Roccia!$B$2:$D997, 3, FALSE)*(1+Datos!$E$1)), "Revisar")</f>
        <v>885.027</v>
      </c>
      <c r="G297" s="11">
        <f>IFERROR(F297*Datos!$B$3, "Revisar")</f>
        <v>1327.5405</v>
      </c>
      <c r="H297" s="12">
        <f>IFERROR(G297*Datos!$B$1, "Revisar")</f>
        <v>766715.8384</v>
      </c>
      <c r="I297" s="13">
        <f>IFERROR((VLOOKUP(B297, Roccia!$B$2:$D997, 3, FALSE) /(1-Datos!$E$1)), "Revisar")</f>
        <v>972.5571429</v>
      </c>
      <c r="J297" s="13">
        <f>IFERROR(I297*Datos!$B$3, "Revisar")</f>
        <v>1458.835714</v>
      </c>
      <c r="K297" s="13">
        <f t="shared" si="3"/>
        <v>131.2952143</v>
      </c>
    </row>
    <row r="298">
      <c r="A298" s="8" t="s">
        <v>485</v>
      </c>
      <c r="B298" s="9" t="s">
        <v>616</v>
      </c>
      <c r="C298" s="10" t="s">
        <v>617</v>
      </c>
      <c r="D298" s="11">
        <f t="shared" ref="D298:E298" si="298">IF(MOD(F298, 5) &lt;= 2.5, FLOOR(F298, 5), CEILING(F298, 5))</f>
        <v>790</v>
      </c>
      <c r="E298" s="11">
        <f t="shared" si="298"/>
        <v>1180</v>
      </c>
      <c r="F298" s="11">
        <f>IFERROR((VLOOKUP(B298, Roccia!$B$2:$D997, 3, FALSE)*(1+Datos!$E$1)), "Revisar")</f>
        <v>787.904</v>
      </c>
      <c r="G298" s="11">
        <f>IFERROR(F298*Datos!$B$3, "Revisar")</f>
        <v>1181.856</v>
      </c>
      <c r="H298" s="12">
        <f>IFERROR(G298*Datos!$B$1, "Revisar")</f>
        <v>682576.3236</v>
      </c>
      <c r="I298" s="13">
        <f>IFERROR((VLOOKUP(B298, Roccia!$B$2:$D997, 3, FALSE) /(1-Datos!$E$1)), "Revisar")</f>
        <v>865.8285714</v>
      </c>
      <c r="J298" s="13">
        <f>IFERROR(I298*Datos!$B$3, "Revisar")</f>
        <v>1298.742857</v>
      </c>
      <c r="K298" s="13">
        <f t="shared" si="3"/>
        <v>116.8868571</v>
      </c>
    </row>
    <row r="299">
      <c r="A299" s="8" t="s">
        <v>485</v>
      </c>
      <c r="B299" s="9" t="s">
        <v>618</v>
      </c>
      <c r="C299" s="10" t="s">
        <v>619</v>
      </c>
      <c r="D299" s="11">
        <f t="shared" ref="D299:E299" si="299">IF(MOD(F299, 5) &lt;= 2.5, FLOOR(F299, 5), CEILING(F299, 5))</f>
        <v>1015</v>
      </c>
      <c r="E299" s="11">
        <f t="shared" si="299"/>
        <v>1520</v>
      </c>
      <c r="F299" s="11">
        <f>IFERROR((VLOOKUP(B299, Roccia!$B$2:$D997, 3, FALSE)*(1+Datos!$E$1)), "Revisar")</f>
        <v>1014.897</v>
      </c>
      <c r="G299" s="11">
        <f>IFERROR(F299*Datos!$B$3, "Revisar")</f>
        <v>1522.3455</v>
      </c>
      <c r="H299" s="12">
        <f>IFERROR(G299*Datos!$B$1, "Revisar")</f>
        <v>879224.7064</v>
      </c>
      <c r="I299" s="13">
        <f>IFERROR((VLOOKUP(B299, Roccia!$B$2:$D997, 3, FALSE) /(1-Datos!$E$1)), "Revisar")</f>
        <v>1115.271429</v>
      </c>
      <c r="J299" s="13">
        <f>IFERROR(I299*Datos!$B$3, "Revisar")</f>
        <v>1672.907143</v>
      </c>
      <c r="K299" s="13">
        <f t="shared" si="3"/>
        <v>150.5616429</v>
      </c>
    </row>
    <row r="300">
      <c r="A300" s="8" t="s">
        <v>485</v>
      </c>
      <c r="B300" s="9" t="s">
        <v>620</v>
      </c>
      <c r="C300" s="10" t="s">
        <v>621</v>
      </c>
      <c r="D300" s="11">
        <f t="shared" ref="D300:E300" si="300">IF(MOD(F300, 5) &lt;= 2.5, FLOOR(F300, 5), CEILING(F300, 5))</f>
        <v>2155</v>
      </c>
      <c r="E300" s="11">
        <f t="shared" si="300"/>
        <v>3230</v>
      </c>
      <c r="F300" s="11">
        <f>IFERROR((VLOOKUP(B300, Roccia!$B$2:$D997, 3, FALSE)*(1+Datos!$E$1)), "Revisar")</f>
        <v>2154.971</v>
      </c>
      <c r="G300" s="11">
        <f>IFERROR(F300*Datos!$B$3, "Revisar")</f>
        <v>3232.4565</v>
      </c>
      <c r="H300" s="12">
        <f>IFERROR(G300*Datos!$B$1, "Revisar")</f>
        <v>1866892.645</v>
      </c>
      <c r="I300" s="13">
        <f>IFERROR((VLOOKUP(B300, Roccia!$B$2:$D997, 3, FALSE) /(1-Datos!$E$1)), "Revisar")</f>
        <v>2368.1</v>
      </c>
      <c r="J300" s="13">
        <f>IFERROR(I300*Datos!$B$3, "Revisar")</f>
        <v>3552.15</v>
      </c>
      <c r="K300" s="13">
        <f t="shared" si="3"/>
        <v>319.6935</v>
      </c>
    </row>
    <row r="301">
      <c r="A301" s="8" t="s">
        <v>485</v>
      </c>
      <c r="B301" s="9" t="s">
        <v>622</v>
      </c>
      <c r="C301" s="10" t="s">
        <v>623</v>
      </c>
      <c r="D301" s="11">
        <f t="shared" ref="D301:E301" si="301">IF(MOD(F301, 5) &lt;= 2.5, FLOOR(F301, 5), CEILING(F301, 5))</f>
        <v>1535</v>
      </c>
      <c r="E301" s="11">
        <f t="shared" si="301"/>
        <v>2300</v>
      </c>
      <c r="F301" s="11">
        <f>IFERROR((VLOOKUP(B301, Roccia!$B$2:$D997, 3, FALSE)*(1+Datos!$E$1)), "Revisar")</f>
        <v>1534.286</v>
      </c>
      <c r="G301" s="11">
        <f>IFERROR(F301*Datos!$B$3, "Revisar")</f>
        <v>2301.429</v>
      </c>
      <c r="H301" s="12">
        <f>IFERROR(G301*Datos!$B$1, "Revisar")</f>
        <v>1329181.343</v>
      </c>
      <c r="I301" s="13">
        <f>IFERROR((VLOOKUP(B301, Roccia!$B$2:$D997, 3, FALSE) /(1-Datos!$E$1)), "Revisar")</f>
        <v>1686.028571</v>
      </c>
      <c r="J301" s="13">
        <f>IFERROR(I301*Datos!$B$3, "Revisar")</f>
        <v>2529.042857</v>
      </c>
      <c r="K301" s="13">
        <f t="shared" si="3"/>
        <v>227.6138571</v>
      </c>
    </row>
    <row r="302">
      <c r="A302" s="8" t="s">
        <v>485</v>
      </c>
      <c r="B302" s="9" t="s">
        <v>624</v>
      </c>
      <c r="C302" s="10" t="s">
        <v>625</v>
      </c>
      <c r="D302" s="11">
        <f t="shared" ref="D302:E302" si="302">IF(MOD(F302, 5) &lt;= 2.5, FLOOR(F302, 5), CEILING(F302, 5))</f>
        <v>2725</v>
      </c>
      <c r="E302" s="11">
        <f t="shared" si="302"/>
        <v>4085</v>
      </c>
      <c r="F302" s="11">
        <f>IFERROR((VLOOKUP(B302, Roccia!$B$2:$D997, 3, FALSE)*(1+Datos!$E$1)), "Revisar")</f>
        <v>2724.839</v>
      </c>
      <c r="G302" s="11">
        <f>IFERROR(F302*Datos!$B$3, "Revisar")</f>
        <v>4087.2585</v>
      </c>
      <c r="H302" s="12">
        <f>IFERROR(G302*Datos!$B$1, "Revisar")</f>
        <v>2360580.206</v>
      </c>
      <c r="I302" s="13">
        <f>IFERROR((VLOOKUP(B302, Roccia!$B$2:$D997, 3, FALSE) /(1-Datos!$E$1)), "Revisar")</f>
        <v>2994.328571</v>
      </c>
      <c r="J302" s="13">
        <f>IFERROR(I302*Datos!$B$3, "Revisar")</f>
        <v>4491.492857</v>
      </c>
      <c r="K302" s="13">
        <f t="shared" si="3"/>
        <v>404.2343571</v>
      </c>
    </row>
    <row r="303">
      <c r="A303" s="8" t="s">
        <v>485</v>
      </c>
      <c r="B303" s="9" t="s">
        <v>626</v>
      </c>
      <c r="C303" s="10" t="s">
        <v>627</v>
      </c>
      <c r="D303" s="11">
        <f t="shared" ref="D303:E303" si="303">IF(MOD(F303, 5) &lt;= 2.5, FLOOR(F303, 5), CEILING(F303, 5))</f>
        <v>3310</v>
      </c>
      <c r="E303" s="11">
        <f t="shared" si="303"/>
        <v>4960</v>
      </c>
      <c r="F303" s="11">
        <f>IFERROR((VLOOKUP(B303, Roccia!$B$2:$D997, 3, FALSE)*(1+Datos!$E$1)), "Revisar")</f>
        <v>3308.097</v>
      </c>
      <c r="G303" s="11">
        <f>IFERROR(F303*Datos!$B$3, "Revisar")</f>
        <v>4962.1455</v>
      </c>
      <c r="H303" s="12">
        <f>IFERROR(G303*Datos!$B$1, "Revisar")</f>
        <v>2865867.781</v>
      </c>
      <c r="I303" s="13">
        <f>IFERROR((VLOOKUP(B303, Roccia!$B$2:$D997, 3, FALSE) /(1-Datos!$E$1)), "Revisar")</f>
        <v>3635.271429</v>
      </c>
      <c r="J303" s="13">
        <f>IFERROR(I303*Datos!$B$3, "Revisar")</f>
        <v>5452.907143</v>
      </c>
      <c r="K303" s="13">
        <f t="shared" si="3"/>
        <v>490.7616429</v>
      </c>
    </row>
    <row r="304">
      <c r="A304" s="8" t="s">
        <v>485</v>
      </c>
      <c r="B304" s="9" t="s">
        <v>628</v>
      </c>
      <c r="C304" s="10" t="s">
        <v>629</v>
      </c>
      <c r="D304" s="11">
        <f t="shared" ref="D304:E304" si="304">IF(MOD(F304, 5) &lt;= 2.5, FLOOR(F304, 5), CEILING(F304, 5))</f>
        <v>3855</v>
      </c>
      <c r="E304" s="11">
        <f t="shared" si="304"/>
        <v>5785</v>
      </c>
      <c r="F304" s="11">
        <f>IFERROR((VLOOKUP(B304, Roccia!$B$2:$D997, 3, FALSE)*(1+Datos!$E$1)), "Revisar")</f>
        <v>3857.204</v>
      </c>
      <c r="G304" s="11">
        <f>IFERROR(F304*Datos!$B$3, "Revisar")</f>
        <v>5785.806</v>
      </c>
      <c r="H304" s="12">
        <f>IFERROR(G304*Datos!$B$1, "Revisar")</f>
        <v>3341569.691</v>
      </c>
      <c r="I304" s="13">
        <f>IFERROR((VLOOKUP(B304, Roccia!$B$2:$D997, 3, FALSE) /(1-Datos!$E$1)), "Revisar")</f>
        <v>4238.685714</v>
      </c>
      <c r="J304" s="13">
        <f>IFERROR(I304*Datos!$B$3, "Revisar")</f>
        <v>6358.028571</v>
      </c>
      <c r="K304" s="13">
        <f t="shared" si="3"/>
        <v>572.2225714</v>
      </c>
    </row>
    <row r="305">
      <c r="A305" s="8" t="s">
        <v>485</v>
      </c>
      <c r="B305" s="9" t="s">
        <v>630</v>
      </c>
      <c r="C305" s="10" t="s">
        <v>631</v>
      </c>
      <c r="D305" s="11">
        <f t="shared" ref="D305:E305" si="305">IF(MOD(F305, 5) &lt;= 2.5, FLOOR(F305, 5), CEILING(F305, 5))</f>
        <v>4200</v>
      </c>
      <c r="E305" s="11">
        <f t="shared" si="305"/>
        <v>6295</v>
      </c>
      <c r="F305" s="11">
        <f>IFERROR((VLOOKUP(B305, Roccia!$B$2:$D997, 3, FALSE)*(1+Datos!$E$1)), "Revisar")</f>
        <v>4197.635</v>
      </c>
      <c r="G305" s="11">
        <f>IFERROR(F305*Datos!$B$3, "Revisar")</f>
        <v>6296.4525</v>
      </c>
      <c r="H305" s="12">
        <f>IFERROR(G305*Datos!$B$1, "Revisar")</f>
        <v>3636491.585</v>
      </c>
      <c r="I305" s="13">
        <f>IFERROR((VLOOKUP(B305, Roccia!$B$2:$D997, 3, FALSE) /(1-Datos!$E$1)), "Revisar")</f>
        <v>4612.785714</v>
      </c>
      <c r="J305" s="13">
        <f>IFERROR(I305*Datos!$B$3, "Revisar")</f>
        <v>6919.178571</v>
      </c>
      <c r="K305" s="13">
        <f t="shared" si="3"/>
        <v>622.7260714</v>
      </c>
    </row>
    <row r="306">
      <c r="A306" s="8" t="s">
        <v>485</v>
      </c>
      <c r="B306" s="9" t="s">
        <v>632</v>
      </c>
      <c r="C306" s="10" t="s">
        <v>633</v>
      </c>
      <c r="D306" s="11">
        <f t="shared" ref="D306:E306" si="306">IF(MOD(F306, 5) &lt;= 2.5, FLOOR(F306, 5), CEILING(F306, 5))</f>
        <v>1550</v>
      </c>
      <c r="E306" s="11">
        <f t="shared" si="306"/>
        <v>2325</v>
      </c>
      <c r="F306" s="11">
        <f>IFERROR((VLOOKUP(B306, Roccia!$B$2:$D997, 3, FALSE)*(1+Datos!$E$1)), "Revisar")</f>
        <v>1549.73</v>
      </c>
      <c r="G306" s="11">
        <f>IFERROR(F306*Datos!$B$3, "Revisar")</f>
        <v>2324.595</v>
      </c>
      <c r="H306" s="12">
        <f>IFERROR(G306*Datos!$B$1, "Revisar")</f>
        <v>1342560.776</v>
      </c>
      <c r="I306" s="13">
        <f>IFERROR((VLOOKUP(B306, Roccia!$B$2:$D997, 3, FALSE) /(1-Datos!$E$1)), "Revisar")</f>
        <v>1703</v>
      </c>
      <c r="J306" s="13">
        <f>IFERROR(I306*Datos!$B$3, "Revisar")</f>
        <v>2554.5</v>
      </c>
      <c r="K306" s="13">
        <f t="shared" si="3"/>
        <v>229.905</v>
      </c>
    </row>
    <row r="307">
      <c r="A307" s="8" t="s">
        <v>485</v>
      </c>
      <c r="B307" s="9" t="s">
        <v>634</v>
      </c>
      <c r="C307" s="10" t="s">
        <v>635</v>
      </c>
      <c r="D307" s="11">
        <f t="shared" ref="D307:E307" si="307">IF(MOD(F307, 5) &lt;= 2.5, FLOOR(F307, 5), CEILING(F307, 5))</f>
        <v>2625</v>
      </c>
      <c r="E307" s="11">
        <f t="shared" si="307"/>
        <v>3940</v>
      </c>
      <c r="F307" s="11">
        <f>IFERROR((VLOOKUP(B307, Roccia!$B$2:$D997, 3, FALSE)*(1+Datos!$E$1)), "Revisar")</f>
        <v>2626.572</v>
      </c>
      <c r="G307" s="11">
        <f>IFERROR(F307*Datos!$B$3, "Revisar")</f>
        <v>3939.858</v>
      </c>
      <c r="H307" s="12">
        <f>IFERROR(G307*Datos!$B$1, "Revisar")</f>
        <v>2275449.622</v>
      </c>
      <c r="I307" s="13">
        <f>IFERROR((VLOOKUP(B307, Roccia!$B$2:$D997, 3, FALSE) /(1-Datos!$E$1)), "Revisar")</f>
        <v>2886.342857</v>
      </c>
      <c r="J307" s="13">
        <f>IFERROR(I307*Datos!$B$3, "Revisar")</f>
        <v>4329.514286</v>
      </c>
      <c r="K307" s="13">
        <f t="shared" si="3"/>
        <v>389.6562857</v>
      </c>
    </row>
    <row r="308">
      <c r="A308" s="8" t="s">
        <v>485</v>
      </c>
      <c r="B308" s="9" t="s">
        <v>636</v>
      </c>
      <c r="C308" s="10" t="s">
        <v>637</v>
      </c>
      <c r="D308" s="11">
        <f t="shared" ref="D308:E308" si="308">IF(MOD(F308, 5) &lt;= 2.5, FLOOR(F308, 5), CEILING(F308, 5))</f>
        <v>7295</v>
      </c>
      <c r="E308" s="11">
        <f t="shared" si="308"/>
        <v>10940</v>
      </c>
      <c r="F308" s="11">
        <f>IFERROR((VLOOKUP(B308, Roccia!$B$2:$D997, 3, FALSE)*(1+Datos!$E$1)), "Revisar")</f>
        <v>7292.87</v>
      </c>
      <c r="G308" s="11">
        <f>IFERROR(F308*Datos!$B$3, "Revisar")</f>
        <v>10939.305</v>
      </c>
      <c r="H308" s="12">
        <f>IFERROR(G308*Datos!$B$1, "Revisar")</f>
        <v>6317952.939</v>
      </c>
      <c r="I308" s="13">
        <f>IFERROR((VLOOKUP(B308, Roccia!$B$2:$D997, 3, FALSE) /(1-Datos!$E$1)), "Revisar")</f>
        <v>8014.142857</v>
      </c>
      <c r="J308" s="13">
        <f>IFERROR(I308*Datos!$B$3, "Revisar")</f>
        <v>12021.21429</v>
      </c>
      <c r="K308" s="13">
        <f t="shared" si="3"/>
        <v>1081.909286</v>
      </c>
    </row>
    <row r="309">
      <c r="A309" s="8" t="s">
        <v>485</v>
      </c>
      <c r="B309" s="9" t="s">
        <v>638</v>
      </c>
      <c r="C309" s="10" t="s">
        <v>639</v>
      </c>
      <c r="D309" s="11">
        <f t="shared" ref="D309:E309" si="309">IF(MOD(F309, 5) &lt;= 2.5, FLOOR(F309, 5), CEILING(F309, 5))</f>
        <v>4325</v>
      </c>
      <c r="E309" s="11">
        <f t="shared" si="309"/>
        <v>6485</v>
      </c>
      <c r="F309" s="11">
        <f>IFERROR((VLOOKUP(B309, Roccia!$B$2:$D997, 3, FALSE)*(1+Datos!$E$1)), "Revisar")</f>
        <v>4324.541</v>
      </c>
      <c r="G309" s="11">
        <f>IFERROR(F309*Datos!$B$3, "Revisar")</f>
        <v>6486.8115</v>
      </c>
      <c r="H309" s="12">
        <f>IFERROR(G309*Datos!$B$1, "Revisar")</f>
        <v>3746432.683</v>
      </c>
      <c r="I309" s="13">
        <f>IFERROR((VLOOKUP(B309, Roccia!$B$2:$D997, 3, FALSE) /(1-Datos!$E$1)), "Revisar")</f>
        <v>4752.242857</v>
      </c>
      <c r="J309" s="13">
        <f>IFERROR(I309*Datos!$B$3, "Revisar")</f>
        <v>7128.364286</v>
      </c>
      <c r="K309" s="13">
        <f t="shared" si="3"/>
        <v>641.5527857</v>
      </c>
    </row>
    <row r="310">
      <c r="A310" s="8" t="s">
        <v>485</v>
      </c>
      <c r="B310" s="9" t="s">
        <v>640</v>
      </c>
      <c r="C310" s="10" t="s">
        <v>641</v>
      </c>
      <c r="D310" s="11">
        <f t="shared" ref="D310:E310" si="310">IF(MOD(F310, 5) &lt;= 2.5, FLOOR(F310, 5), CEILING(F310, 5))</f>
        <v>905</v>
      </c>
      <c r="E310" s="11">
        <f t="shared" si="310"/>
        <v>1360</v>
      </c>
      <c r="F310" s="11">
        <f>IFERROR((VLOOKUP(B310, Roccia!$B$2:$D997, 3, FALSE)*(1+Datos!$E$1)), "Revisar")</f>
        <v>907.361</v>
      </c>
      <c r="G310" s="11">
        <f>IFERROR(F310*Datos!$B$3, "Revisar")</f>
        <v>1361.0415</v>
      </c>
      <c r="H310" s="12">
        <f>IFERROR(G310*Datos!$B$1, "Revisar")</f>
        <v>786064.2103</v>
      </c>
      <c r="I310" s="13">
        <f>IFERROR((VLOOKUP(B310, Roccia!$B$2:$D997, 3, FALSE) /(1-Datos!$E$1)), "Revisar")</f>
        <v>997.1</v>
      </c>
      <c r="J310" s="13">
        <f>IFERROR(I310*Datos!$B$3, "Revisar")</f>
        <v>1495.65</v>
      </c>
      <c r="K310" s="13">
        <f t="shared" si="3"/>
        <v>134.6085</v>
      </c>
    </row>
    <row r="311">
      <c r="A311" s="8" t="s">
        <v>485</v>
      </c>
      <c r="B311" s="9" t="s">
        <v>642</v>
      </c>
      <c r="C311" s="10" t="s">
        <v>643</v>
      </c>
      <c r="D311" s="11">
        <f t="shared" ref="D311:E311" si="311">IF(MOD(F311, 5) &lt;= 2.5, FLOOR(F311, 5), CEILING(F311, 5))</f>
        <v>3660</v>
      </c>
      <c r="E311" s="11">
        <f t="shared" si="311"/>
        <v>5495</v>
      </c>
      <c r="F311" s="11">
        <f>IFERROR((VLOOKUP(B311, Roccia!$B$2:$D997, 3, FALSE)*(1+Datos!$E$1)), "Revisar")</f>
        <v>3662.425</v>
      </c>
      <c r="G311" s="11">
        <f>IFERROR(F311*Datos!$B$3, "Revisar")</f>
        <v>5493.6375</v>
      </c>
      <c r="H311" s="12">
        <f>IFERROR(G311*Datos!$B$1, "Revisar")</f>
        <v>3172828.913</v>
      </c>
      <c r="I311" s="13">
        <f>IFERROR((VLOOKUP(B311, Roccia!$B$2:$D997, 3, FALSE) /(1-Datos!$E$1)), "Revisar")</f>
        <v>4024.642857</v>
      </c>
      <c r="J311" s="13">
        <f>IFERROR(I311*Datos!$B$3, "Revisar")</f>
        <v>6036.964286</v>
      </c>
      <c r="K311" s="13">
        <f t="shared" si="3"/>
        <v>543.3267857</v>
      </c>
    </row>
    <row r="312">
      <c r="A312" s="8" t="s">
        <v>644</v>
      </c>
      <c r="B312" s="9" t="s">
        <v>645</v>
      </c>
      <c r="C312" s="10" t="s">
        <v>646</v>
      </c>
      <c r="D312" s="11">
        <f t="shared" ref="D312:E312" si="312">IF(MOD(F312, 5) &lt;= 2.5, FLOOR(F312, 5), CEILING(F312, 5))</f>
        <v>240</v>
      </c>
      <c r="E312" s="11">
        <f t="shared" si="312"/>
        <v>360</v>
      </c>
      <c r="F312" s="11">
        <f>IFERROR((VLOOKUP(B312, Roccia!$B$2:$D997, 3, FALSE)*(1+Datos!$E$1)), "Revisar")</f>
        <v>239.434</v>
      </c>
      <c r="G312" s="11">
        <f>IFERROR(F312*Datos!$B$3, "Revisar")</f>
        <v>359.151</v>
      </c>
      <c r="H312" s="12">
        <f>IFERROR(G312*Datos!$B$1, "Revisar")</f>
        <v>207426.2594</v>
      </c>
      <c r="I312" s="13">
        <f>IFERROR((VLOOKUP(B312, Roccia!$B$2:$D997, 3, FALSE) /(1-Datos!$E$1)), "Revisar")</f>
        <v>263.1142857</v>
      </c>
      <c r="J312" s="13">
        <f>IFERROR(I312*Datos!$B$3, "Revisar")</f>
        <v>394.6714286</v>
      </c>
      <c r="K312" s="13">
        <f t="shared" si="3"/>
        <v>35.52042857</v>
      </c>
    </row>
    <row r="313">
      <c r="A313" s="8" t="s">
        <v>644</v>
      </c>
      <c r="B313" s="9" t="s">
        <v>647</v>
      </c>
      <c r="C313" s="10" t="s">
        <v>648</v>
      </c>
      <c r="D313" s="11">
        <f t="shared" ref="D313:E313" si="313">IF(MOD(F313, 5) &lt;= 2.5, FLOOR(F313, 5), CEILING(F313, 5))</f>
        <v>130</v>
      </c>
      <c r="E313" s="11">
        <f t="shared" si="313"/>
        <v>195</v>
      </c>
      <c r="F313" s="11">
        <f>IFERROR((VLOOKUP(B313, Roccia!$B$2:$D997, 3, FALSE)*(1+Datos!$E$1)), "Revisar")</f>
        <v>131.118</v>
      </c>
      <c r="G313" s="11">
        <f>IFERROR(F313*Datos!$B$3, "Revisar")</f>
        <v>196.677</v>
      </c>
      <c r="H313" s="12">
        <f>IFERROR(G313*Datos!$B$1, "Revisar")</f>
        <v>113590.0343</v>
      </c>
      <c r="I313" s="13">
        <f>IFERROR((VLOOKUP(B313, Roccia!$B$2:$D997, 3, FALSE) /(1-Datos!$E$1)), "Revisar")</f>
        <v>144.0857143</v>
      </c>
      <c r="J313" s="13">
        <f>IFERROR(I313*Datos!$B$3, "Revisar")</f>
        <v>216.1285714</v>
      </c>
      <c r="K313" s="13">
        <f t="shared" si="3"/>
        <v>19.45157143</v>
      </c>
    </row>
    <row r="314">
      <c r="A314" s="8" t="s">
        <v>649</v>
      </c>
      <c r="B314" s="9" t="s">
        <v>650</v>
      </c>
      <c r="C314" s="10" t="s">
        <v>651</v>
      </c>
      <c r="D314" s="11">
        <f t="shared" ref="D314:E314" si="314">IF(MOD(F314, 5) &lt;= 2.5, FLOOR(F314, 5), CEILING(F314, 5))</f>
        <v>25</v>
      </c>
      <c r="E314" s="11">
        <f t="shared" si="314"/>
        <v>35</v>
      </c>
      <c r="F314" s="11">
        <f>IFERROR((VLOOKUP(B314, Roccia!$B$2:$D997, 3, FALSE)*(1+Datos!$E$1)), "Revisar")</f>
        <v>24.232</v>
      </c>
      <c r="G314" s="11">
        <f>IFERROR(F314*Datos!$B$3, "Revisar")</f>
        <v>36.348</v>
      </c>
      <c r="H314" s="12">
        <f>IFERROR(G314*Datos!$B$1, "Revisar")</f>
        <v>20992.64564</v>
      </c>
      <c r="I314" s="13">
        <f>IFERROR((VLOOKUP(B314, Roccia!$B$2:$D997, 3, FALSE) /(1-Datos!$E$1)), "Revisar")</f>
        <v>26.62857143</v>
      </c>
      <c r="J314" s="13">
        <f>IFERROR(I314*Datos!$B$3, "Revisar")</f>
        <v>39.94285714</v>
      </c>
      <c r="K314" s="13">
        <f t="shared" si="3"/>
        <v>3.594857143</v>
      </c>
    </row>
    <row r="315">
      <c r="A315" s="8" t="s">
        <v>649</v>
      </c>
      <c r="B315" s="9" t="s">
        <v>652</v>
      </c>
      <c r="C315" s="10" t="s">
        <v>653</v>
      </c>
      <c r="D315" s="11">
        <f t="shared" ref="D315:E315" si="315">IF(MOD(F315, 5) &lt;= 2.5, FLOOR(F315, 5), CEILING(F315, 5))</f>
        <v>30</v>
      </c>
      <c r="E315" s="11">
        <f t="shared" si="315"/>
        <v>45</v>
      </c>
      <c r="F315" s="11">
        <f>IFERROR((VLOOKUP(B315, Roccia!$B$2:$D997, 3, FALSE)*(1+Datos!$E$1)), "Revisar")</f>
        <v>31.447</v>
      </c>
      <c r="G315" s="11">
        <f>IFERROR(F315*Datos!$B$3, "Revisar")</f>
        <v>47.1705</v>
      </c>
      <c r="H315" s="12">
        <f>IFERROR(G315*Datos!$B$1, "Revisar")</f>
        <v>27243.13831</v>
      </c>
      <c r="I315" s="13">
        <f>IFERROR((VLOOKUP(B315, Roccia!$B$2:$D997, 3, FALSE) /(1-Datos!$E$1)), "Revisar")</f>
        <v>34.55714286</v>
      </c>
      <c r="J315" s="13">
        <f>IFERROR(I315*Datos!$B$3, "Revisar")</f>
        <v>51.83571429</v>
      </c>
      <c r="K315" s="13">
        <f t="shared" si="3"/>
        <v>4.665214286</v>
      </c>
    </row>
    <row r="316">
      <c r="A316" s="8" t="s">
        <v>649</v>
      </c>
      <c r="B316" s="9" t="s">
        <v>654</v>
      </c>
      <c r="C316" s="10" t="s">
        <v>655</v>
      </c>
      <c r="D316" s="11">
        <f t="shared" ref="D316:E316" si="316">IF(MOD(F316, 5) &lt;= 2.5, FLOOR(F316, 5), CEILING(F316, 5))</f>
        <v>45</v>
      </c>
      <c r="E316" s="11">
        <f t="shared" si="316"/>
        <v>65</v>
      </c>
      <c r="F316" s="11">
        <f>IFERROR((VLOOKUP(B316, Roccia!$B$2:$D997, 3, FALSE)*(1+Datos!$E$1)), "Revisar")</f>
        <v>42.536</v>
      </c>
      <c r="G316" s="11">
        <f>IFERROR(F316*Datos!$B$3, "Revisar")</f>
        <v>63.804</v>
      </c>
      <c r="H316" s="12">
        <f>IFERROR(G316*Datos!$B$1, "Revisar")</f>
        <v>36849.75136</v>
      </c>
      <c r="I316" s="13">
        <f>IFERROR((VLOOKUP(B316, Roccia!$B$2:$D997, 3, FALSE) /(1-Datos!$E$1)), "Revisar")</f>
        <v>46.74285714</v>
      </c>
      <c r="J316" s="13">
        <f>IFERROR(I316*Datos!$B$3, "Revisar")</f>
        <v>70.11428571</v>
      </c>
      <c r="K316" s="13">
        <f t="shared" si="3"/>
        <v>6.310285714</v>
      </c>
    </row>
    <row r="317">
      <c r="A317" s="8" t="s">
        <v>649</v>
      </c>
      <c r="B317" s="9" t="s">
        <v>656</v>
      </c>
      <c r="C317" s="10" t="s">
        <v>657</v>
      </c>
      <c r="D317" s="11">
        <f t="shared" ref="D317:E317" si="317">IF(MOD(F317, 5) &lt;= 2.5, FLOOR(F317, 5), CEILING(F317, 5))</f>
        <v>55</v>
      </c>
      <c r="E317" s="11">
        <f t="shared" si="317"/>
        <v>85</v>
      </c>
      <c r="F317" s="11">
        <f>IFERROR((VLOOKUP(B317, Roccia!$B$2:$D997, 3, FALSE)*(1+Datos!$E$1)), "Revisar")</f>
        <v>56.446</v>
      </c>
      <c r="G317" s="11">
        <f>IFERROR(F317*Datos!$B$3, "Revisar")</f>
        <v>84.669</v>
      </c>
      <c r="H317" s="12">
        <f>IFERROR(G317*Datos!$B$1, "Revisar")</f>
        <v>48900.25074</v>
      </c>
      <c r="I317" s="13">
        <f>IFERROR((VLOOKUP(B317, Roccia!$B$2:$D997, 3, FALSE) /(1-Datos!$E$1)), "Revisar")</f>
        <v>62.02857143</v>
      </c>
      <c r="J317" s="13">
        <f>IFERROR(I317*Datos!$B$3, "Revisar")</f>
        <v>93.04285714</v>
      </c>
      <c r="K317" s="13">
        <f t="shared" si="3"/>
        <v>8.373857143</v>
      </c>
    </row>
    <row r="318">
      <c r="A318" s="8" t="s">
        <v>649</v>
      </c>
      <c r="B318" s="9" t="s">
        <v>658</v>
      </c>
      <c r="C318" s="10" t="s">
        <v>659</v>
      </c>
      <c r="D318" s="11">
        <f t="shared" ref="D318:E318" si="318">IF(MOD(F318, 5) &lt;= 2.5, FLOOR(F318, 5), CEILING(F318, 5))</f>
        <v>20</v>
      </c>
      <c r="E318" s="11">
        <f t="shared" si="318"/>
        <v>35</v>
      </c>
      <c r="F318" s="11">
        <f>IFERROR((VLOOKUP(B318, Roccia!$B$2:$D997, 3, FALSE)*(1+Datos!$E$1)), "Revisar")</f>
        <v>22.009</v>
      </c>
      <c r="G318" s="11">
        <f>IFERROR(F318*Datos!$B$3, "Revisar")</f>
        <v>33.0135</v>
      </c>
      <c r="H318" s="12">
        <f>IFERROR(G318*Datos!$B$1, "Revisar")</f>
        <v>19066.81817</v>
      </c>
      <c r="I318" s="13">
        <f>IFERROR((VLOOKUP(B318, Roccia!$B$2:$D997, 3, FALSE) /(1-Datos!$E$1)), "Revisar")</f>
        <v>24.18571429</v>
      </c>
      <c r="J318" s="13">
        <f>IFERROR(I318*Datos!$B$3, "Revisar")</f>
        <v>36.27857143</v>
      </c>
      <c r="K318" s="13">
        <f t="shared" si="3"/>
        <v>3.265071429</v>
      </c>
    </row>
    <row r="319">
      <c r="A319" s="8" t="s">
        <v>649</v>
      </c>
      <c r="B319" s="9" t="s">
        <v>660</v>
      </c>
      <c r="C319" s="10" t="s">
        <v>661</v>
      </c>
      <c r="D319" s="11">
        <f t="shared" ref="D319:E319" si="319">IF(MOD(F319, 5) &lt;= 2.5, FLOOR(F319, 5), CEILING(F319, 5))</f>
        <v>25</v>
      </c>
      <c r="E319" s="11">
        <f t="shared" si="319"/>
        <v>40</v>
      </c>
      <c r="F319" s="11">
        <f>IFERROR((VLOOKUP(B319, Roccia!$B$2:$D997, 3, FALSE)*(1+Datos!$E$1)), "Revisar")</f>
        <v>27.456</v>
      </c>
      <c r="G319" s="11">
        <f>IFERROR(F319*Datos!$B$3, "Revisar")</f>
        <v>41.184</v>
      </c>
      <c r="H319" s="12">
        <f>IFERROR(G319*Datos!$B$1, "Revisar")</f>
        <v>23785.65858</v>
      </c>
      <c r="I319" s="13">
        <f>IFERROR((VLOOKUP(B319, Roccia!$B$2:$D997, 3, FALSE) /(1-Datos!$E$1)), "Revisar")</f>
        <v>30.17142857</v>
      </c>
      <c r="J319" s="13">
        <f>IFERROR(I319*Datos!$B$3, "Revisar")</f>
        <v>45.25714286</v>
      </c>
      <c r="K319" s="13">
        <f t="shared" si="3"/>
        <v>4.073142857</v>
      </c>
    </row>
    <row r="320">
      <c r="A320" s="8" t="s">
        <v>649</v>
      </c>
      <c r="B320" s="9" t="s">
        <v>662</v>
      </c>
      <c r="C320" s="10" t="s">
        <v>663</v>
      </c>
      <c r="D320" s="11">
        <f t="shared" ref="D320:E320" si="320">IF(MOD(F320, 5) &lt;= 2.5, FLOOR(F320, 5), CEILING(F320, 5))</f>
        <v>35</v>
      </c>
      <c r="E320" s="11">
        <f t="shared" si="320"/>
        <v>50</v>
      </c>
      <c r="F320" s="11">
        <f>IFERROR((VLOOKUP(B320, Roccia!$B$2:$D997, 3, FALSE)*(1+Datos!$E$1)), "Revisar")</f>
        <v>34.333</v>
      </c>
      <c r="G320" s="11">
        <f>IFERROR(F320*Datos!$B$3, "Revisar")</f>
        <v>51.4995</v>
      </c>
      <c r="H320" s="12">
        <f>IFERROR(G320*Datos!$B$1, "Revisar")</f>
        <v>29743.33538</v>
      </c>
      <c r="I320" s="13">
        <f>IFERROR((VLOOKUP(B320, Roccia!$B$2:$D997, 3, FALSE) /(1-Datos!$E$1)), "Revisar")</f>
        <v>37.72857143</v>
      </c>
      <c r="J320" s="13">
        <f>IFERROR(I320*Datos!$B$3, "Revisar")</f>
        <v>56.59285714</v>
      </c>
      <c r="K320" s="13">
        <f t="shared" si="3"/>
        <v>5.093357143</v>
      </c>
    </row>
    <row r="321">
      <c r="A321" s="8" t="s">
        <v>649</v>
      </c>
      <c r="B321" s="9" t="s">
        <v>664</v>
      </c>
      <c r="C321" s="10" t="s">
        <v>665</v>
      </c>
      <c r="D321" s="11">
        <f t="shared" ref="D321:E321" si="321">IF(MOD(F321, 5) &lt;= 2.5, FLOOR(F321, 5), CEILING(F321, 5))</f>
        <v>105</v>
      </c>
      <c r="E321" s="11">
        <f t="shared" si="321"/>
        <v>160</v>
      </c>
      <c r="F321" s="11">
        <f>IFERROR((VLOOKUP(B321, Roccia!$B$2:$D997, 3, FALSE)*(1+Datos!$E$1)), "Revisar")</f>
        <v>105.664</v>
      </c>
      <c r="G321" s="11">
        <f>IFERROR(F321*Datos!$B$3, "Revisar")</f>
        <v>158.496</v>
      </c>
      <c r="H321" s="12">
        <f>IFERROR(G321*Datos!$B$1, "Revisar")</f>
        <v>91538.74667</v>
      </c>
      <c r="I321" s="13">
        <f>IFERROR((VLOOKUP(B321, Roccia!$B$2:$D997, 3, FALSE) /(1-Datos!$E$1)), "Revisar")</f>
        <v>116.1142857</v>
      </c>
      <c r="J321" s="13">
        <f>IFERROR(I321*Datos!$B$3, "Revisar")</f>
        <v>174.1714286</v>
      </c>
      <c r="K321" s="13">
        <f t="shared" si="3"/>
        <v>15.67542857</v>
      </c>
    </row>
    <row r="322">
      <c r="A322" s="8" t="s">
        <v>649</v>
      </c>
      <c r="B322" s="9" t="s">
        <v>666</v>
      </c>
      <c r="C322" s="10" t="s">
        <v>667</v>
      </c>
      <c r="D322" s="11">
        <f t="shared" ref="D322:E322" si="322">IF(MOD(F322, 5) &lt;= 2.5, FLOOR(F322, 5), CEILING(F322, 5))</f>
        <v>25</v>
      </c>
      <c r="E322" s="11">
        <f t="shared" si="322"/>
        <v>40</v>
      </c>
      <c r="F322" s="11">
        <f>IFERROR((VLOOKUP(B322, Roccia!$B$2:$D997, 3, FALSE)*(1+Datos!$E$1)), "Revisar")</f>
        <v>26.325</v>
      </c>
      <c r="G322" s="11">
        <f>IFERROR(F322*Datos!$B$3, "Revisar")</f>
        <v>39.4875</v>
      </c>
      <c r="H322" s="12">
        <f>IFERROR(G322*Datos!$B$1, "Revisar")</f>
        <v>22805.85162</v>
      </c>
      <c r="I322" s="13">
        <f>IFERROR((VLOOKUP(B322, Roccia!$B$2:$D997, 3, FALSE) /(1-Datos!$E$1)), "Revisar")</f>
        <v>28.92857143</v>
      </c>
      <c r="J322" s="13">
        <f>IFERROR(I322*Datos!$B$3, "Revisar")</f>
        <v>43.39285714</v>
      </c>
      <c r="K322" s="13">
        <f t="shared" si="3"/>
        <v>3.905357143</v>
      </c>
    </row>
    <row r="323">
      <c r="A323" s="8" t="s">
        <v>649</v>
      </c>
      <c r="B323" s="9" t="s">
        <v>668</v>
      </c>
      <c r="C323" s="10" t="s">
        <v>669</v>
      </c>
      <c r="D323" s="11">
        <f t="shared" ref="D323:E323" si="323">IF(MOD(F323, 5) &lt;= 2.5, FLOOR(F323, 5), CEILING(F323, 5))</f>
        <v>15</v>
      </c>
      <c r="E323" s="11">
        <f t="shared" si="323"/>
        <v>20</v>
      </c>
      <c r="F323" s="11">
        <f>IFERROR((VLOOKUP(B323, Roccia!$B$2:$D997, 3, FALSE)*(1+Datos!$E$1)), "Revisar")</f>
        <v>13</v>
      </c>
      <c r="G323" s="11">
        <f>IFERROR(F323*Datos!$B$3, "Revisar")</f>
        <v>19.5</v>
      </c>
      <c r="H323" s="12">
        <f>IFERROR(G323*Datos!$B$1, "Revisar")</f>
        <v>11262.14895</v>
      </c>
      <c r="I323" s="13">
        <f>IFERROR((VLOOKUP(B323, Roccia!$B$2:$D997, 3, FALSE) /(1-Datos!$E$1)), "Revisar")</f>
        <v>14.28571429</v>
      </c>
      <c r="J323" s="13">
        <f>IFERROR(I323*Datos!$B$3, "Revisar")</f>
        <v>21.42857143</v>
      </c>
      <c r="K323" s="13">
        <f t="shared" si="3"/>
        <v>1.928571429</v>
      </c>
    </row>
    <row r="324">
      <c r="A324" s="8" t="s">
        <v>649</v>
      </c>
      <c r="B324" s="9" t="s">
        <v>670</v>
      </c>
      <c r="C324" s="10" t="s">
        <v>671</v>
      </c>
      <c r="D324" s="11">
        <f t="shared" ref="D324:E324" si="324">IF(MOD(F324, 5) &lt;= 2.5, FLOOR(F324, 5), CEILING(F324, 5))</f>
        <v>10</v>
      </c>
      <c r="E324" s="11">
        <f t="shared" si="324"/>
        <v>10</v>
      </c>
      <c r="F324" s="11">
        <f>IFERROR((VLOOKUP(B324, Roccia!$B$2:$D997, 3, FALSE)*(1+Datos!$E$1)), "Revisar")</f>
        <v>7.683</v>
      </c>
      <c r="G324" s="11">
        <f>IFERROR(F324*Datos!$B$3, "Revisar")</f>
        <v>11.5245</v>
      </c>
      <c r="H324" s="12">
        <f>IFERROR(G324*Datos!$B$1, "Revisar")</f>
        <v>6655.930029</v>
      </c>
      <c r="I324" s="13">
        <f>IFERROR((VLOOKUP(B324, Roccia!$B$2:$D997, 3, FALSE) /(1-Datos!$E$1)), "Revisar")</f>
        <v>8.442857143</v>
      </c>
      <c r="J324" s="13">
        <f>IFERROR(I324*Datos!$B$3, "Revisar")</f>
        <v>12.66428571</v>
      </c>
      <c r="K324" s="13">
        <f t="shared" si="3"/>
        <v>1.139785714</v>
      </c>
    </row>
    <row r="325">
      <c r="A325" s="8" t="s">
        <v>649</v>
      </c>
      <c r="B325" s="9" t="s">
        <v>672</v>
      </c>
      <c r="C325" s="10" t="s">
        <v>673</v>
      </c>
      <c r="D325" s="11">
        <f t="shared" ref="D325:E325" si="325">IF(MOD(F325, 5) &lt;= 2.5, FLOOR(F325, 5), CEILING(F325, 5))</f>
        <v>5</v>
      </c>
      <c r="E325" s="11">
        <f t="shared" si="325"/>
        <v>5</v>
      </c>
      <c r="F325" s="11">
        <f>IFERROR((VLOOKUP(B325, Roccia!$B$2:$D997, 3, FALSE)*(1+Datos!$E$1)), "Revisar")</f>
        <v>2.6</v>
      </c>
      <c r="G325" s="11">
        <f>IFERROR(F325*Datos!$B$3, "Revisar")</f>
        <v>3.9</v>
      </c>
      <c r="H325" s="12">
        <f>IFERROR(G325*Datos!$B$1, "Revisar")</f>
        <v>2252.42979</v>
      </c>
      <c r="I325" s="13">
        <f>IFERROR((VLOOKUP(B325, Roccia!$B$2:$D997, 3, FALSE) /(1-Datos!$E$1)), "Revisar")</f>
        <v>2.857142857</v>
      </c>
      <c r="J325" s="13">
        <f>IFERROR(I325*Datos!$B$3, "Revisar")</f>
        <v>4.285714286</v>
      </c>
      <c r="K325" s="13">
        <f t="shared" si="3"/>
        <v>0.3857142857</v>
      </c>
    </row>
    <row r="326">
      <c r="A326" s="8" t="s">
        <v>674</v>
      </c>
      <c r="B326" s="9" t="s">
        <v>675</v>
      </c>
      <c r="C326" s="10" t="s">
        <v>676</v>
      </c>
      <c r="D326" s="11">
        <f t="shared" ref="D326:E326" si="326">IF(MOD(F326, 5) &lt;= 2.5, FLOOR(F326, 5), CEILING(F326, 5))</f>
        <v>55</v>
      </c>
      <c r="E326" s="11">
        <f t="shared" si="326"/>
        <v>80</v>
      </c>
      <c r="F326" s="11">
        <f>IFERROR((VLOOKUP(B326, Roccia!$B$2:$D997, 3, FALSE)*(1+Datos!$E$1)), "Revisar")</f>
        <v>53.95</v>
      </c>
      <c r="G326" s="11">
        <f>IFERROR(F326*Datos!$B$3, "Revisar")</f>
        <v>80.925</v>
      </c>
      <c r="H326" s="12">
        <f>IFERROR(G326*Datos!$B$1, "Revisar")</f>
        <v>46737.91814</v>
      </c>
      <c r="I326" s="13">
        <f>IFERROR((VLOOKUP(B326, Roccia!$B$2:$D997, 3, FALSE) /(1-Datos!$E$1)), "Revisar")</f>
        <v>59.28571429</v>
      </c>
      <c r="J326" s="13">
        <f>IFERROR(I326*Datos!$B$3, "Revisar")</f>
        <v>88.92857143</v>
      </c>
      <c r="K326" s="13">
        <f t="shared" si="3"/>
        <v>8.003571429</v>
      </c>
    </row>
    <row r="327">
      <c r="A327" s="8" t="s">
        <v>674</v>
      </c>
      <c r="B327" s="9" t="s">
        <v>677</v>
      </c>
      <c r="C327" s="10" t="s">
        <v>678</v>
      </c>
      <c r="D327" s="11">
        <f t="shared" ref="D327:E327" si="327">IF(MOD(F327, 5) &lt;= 2.5, FLOOR(F327, 5), CEILING(F327, 5))</f>
        <v>85</v>
      </c>
      <c r="E327" s="11">
        <f t="shared" si="327"/>
        <v>125</v>
      </c>
      <c r="F327" s="11">
        <f>IFERROR((VLOOKUP(B327, Roccia!$B$2:$D997, 3, FALSE)*(1+Datos!$E$1)), "Revisar")</f>
        <v>84.5</v>
      </c>
      <c r="G327" s="11">
        <f>IFERROR(F327*Datos!$B$3, "Revisar")</f>
        <v>126.75</v>
      </c>
      <c r="H327" s="12">
        <f>IFERROR(G327*Datos!$B$1, "Revisar")</f>
        <v>73203.96818</v>
      </c>
      <c r="I327" s="13">
        <f>IFERROR((VLOOKUP(B327, Roccia!$B$2:$D997, 3, FALSE) /(1-Datos!$E$1)), "Revisar")</f>
        <v>92.85714286</v>
      </c>
      <c r="J327" s="13">
        <f>IFERROR(I327*Datos!$B$3, "Revisar")</f>
        <v>139.2857143</v>
      </c>
      <c r="K327" s="13">
        <f t="shared" si="3"/>
        <v>12.53571429</v>
      </c>
    </row>
    <row r="328">
      <c r="A328" s="8" t="s">
        <v>674</v>
      </c>
      <c r="B328" s="9" t="s">
        <v>679</v>
      </c>
      <c r="C328" s="10" t="s">
        <v>680</v>
      </c>
      <c r="D328" s="11">
        <f t="shared" ref="D328:E328" si="328">IF(MOD(F328, 5) &lt;= 2.5, FLOOR(F328, 5), CEILING(F328, 5))</f>
        <v>25</v>
      </c>
      <c r="E328" s="11">
        <f t="shared" si="328"/>
        <v>40</v>
      </c>
      <c r="F328" s="11">
        <f>IFERROR((VLOOKUP(B328, Roccia!$B$2:$D997, 3, FALSE)*(1+Datos!$E$1)), "Revisar")</f>
        <v>26</v>
      </c>
      <c r="G328" s="11">
        <f>IFERROR(F328*Datos!$B$3, "Revisar")</f>
        <v>39</v>
      </c>
      <c r="H328" s="12">
        <f>IFERROR(G328*Datos!$B$1, "Revisar")</f>
        <v>22524.2979</v>
      </c>
      <c r="I328" s="13">
        <f>IFERROR((VLOOKUP(B328, Roccia!$B$2:$D997, 3, FALSE) /(1-Datos!$E$1)), "Revisar")</f>
        <v>28.57142857</v>
      </c>
      <c r="J328" s="13">
        <f>IFERROR(I328*Datos!$B$3, "Revisar")</f>
        <v>42.85714286</v>
      </c>
      <c r="K328" s="13">
        <f t="shared" si="3"/>
        <v>3.857142857</v>
      </c>
    </row>
    <row r="329">
      <c r="A329" s="8" t="s">
        <v>674</v>
      </c>
      <c r="B329" s="9" t="s">
        <v>681</v>
      </c>
      <c r="C329" s="10" t="s">
        <v>682</v>
      </c>
      <c r="D329" s="11">
        <f t="shared" ref="D329:E329" si="329">IF(MOD(F329, 5) &lt;= 2.5, FLOOR(F329, 5), CEILING(F329, 5))</f>
        <v>70</v>
      </c>
      <c r="E329" s="11">
        <f t="shared" si="329"/>
        <v>100</v>
      </c>
      <c r="F329" s="11">
        <f>IFERROR((VLOOKUP(B329, Roccia!$B$2:$D997, 3, FALSE)*(1+Datos!$E$1)), "Revisar")</f>
        <v>67.6</v>
      </c>
      <c r="G329" s="11">
        <f>IFERROR(F329*Datos!$B$3, "Revisar")</f>
        <v>101.4</v>
      </c>
      <c r="H329" s="12">
        <f>IFERROR(G329*Datos!$B$1, "Revisar")</f>
        <v>58563.17454</v>
      </c>
      <c r="I329" s="13">
        <f>IFERROR((VLOOKUP(B329, Roccia!$B$2:$D997, 3, FALSE) /(1-Datos!$E$1)), "Revisar")</f>
        <v>74.28571429</v>
      </c>
      <c r="J329" s="13">
        <f>IFERROR(I329*Datos!$B$3, "Revisar")</f>
        <v>111.4285714</v>
      </c>
      <c r="K329" s="13">
        <f t="shared" si="3"/>
        <v>10.02857143</v>
      </c>
    </row>
    <row r="330">
      <c r="A330" s="8" t="s">
        <v>674</v>
      </c>
      <c r="B330" s="9" t="s">
        <v>683</v>
      </c>
      <c r="C330" s="10" t="s">
        <v>684</v>
      </c>
      <c r="D330" s="11">
        <f t="shared" ref="D330:E330" si="330">IF(MOD(F330, 5) &lt;= 2.5, FLOOR(F330, 5), CEILING(F330, 5))</f>
        <v>40</v>
      </c>
      <c r="E330" s="11">
        <f t="shared" si="330"/>
        <v>65</v>
      </c>
      <c r="F330" s="11">
        <f>IFERROR((VLOOKUP(B330, Roccia!$B$2:$D997, 3, FALSE)*(1+Datos!$E$1)), "Revisar")</f>
        <v>41.743</v>
      </c>
      <c r="G330" s="11">
        <f>IFERROR(F330*Datos!$B$3, "Revisar")</f>
        <v>62.6145</v>
      </c>
      <c r="H330" s="12">
        <f>IFERROR(G330*Datos!$B$1, "Revisar")</f>
        <v>36162.76028</v>
      </c>
      <c r="I330" s="13">
        <f>IFERROR((VLOOKUP(B330, Roccia!$B$2:$D997, 3, FALSE) /(1-Datos!$E$1)), "Revisar")</f>
        <v>45.87142857</v>
      </c>
      <c r="J330" s="13">
        <f>IFERROR(I330*Datos!$B$3, "Revisar")</f>
        <v>68.80714286</v>
      </c>
      <c r="K330" s="13">
        <f t="shared" si="3"/>
        <v>6.192642857</v>
      </c>
    </row>
    <row r="331">
      <c r="A331" s="8" t="s">
        <v>674</v>
      </c>
      <c r="B331" s="9" t="s">
        <v>685</v>
      </c>
      <c r="C331" s="10" t="s">
        <v>686</v>
      </c>
      <c r="D331" s="11">
        <f t="shared" ref="D331:E331" si="331">IF(MOD(F331, 5) &lt;= 2.5, FLOOR(F331, 5), CEILING(F331, 5))</f>
        <v>905</v>
      </c>
      <c r="E331" s="11">
        <f t="shared" si="331"/>
        <v>1360</v>
      </c>
      <c r="F331" s="11">
        <f>IFERROR((VLOOKUP(B331, Roccia!$B$2:$D997, 3, FALSE)*(1+Datos!$E$1)), "Revisar")</f>
        <v>907.4</v>
      </c>
      <c r="G331" s="11">
        <f>IFERROR(F331*Datos!$B$3, "Revisar")</f>
        <v>1361.1</v>
      </c>
      <c r="H331" s="12">
        <f>IFERROR(G331*Datos!$B$1, "Revisar")</f>
        <v>786097.9967</v>
      </c>
      <c r="I331" s="13">
        <f>IFERROR((VLOOKUP(B331, Roccia!$B$2:$D997, 3, FALSE) /(1-Datos!$E$1)), "Revisar")</f>
        <v>997.1428571</v>
      </c>
      <c r="J331" s="13">
        <f>IFERROR(I331*Datos!$B$3, "Revisar")</f>
        <v>1495.714286</v>
      </c>
      <c r="K331" s="13">
        <f t="shared" si="3"/>
        <v>134.6142857</v>
      </c>
    </row>
    <row r="332">
      <c r="A332" s="8" t="s">
        <v>674</v>
      </c>
      <c r="B332" s="9" t="s">
        <v>687</v>
      </c>
      <c r="C332" s="10" t="s">
        <v>688</v>
      </c>
      <c r="D332" s="11">
        <f t="shared" ref="D332:E332" si="332">IF(MOD(F332, 5) &lt;= 2.5, FLOOR(F332, 5), CEILING(F332, 5))</f>
        <v>505</v>
      </c>
      <c r="E332" s="11">
        <f t="shared" si="332"/>
        <v>755</v>
      </c>
      <c r="F332" s="11">
        <f>IFERROR((VLOOKUP(B332, Roccia!$B$2:$D997, 3, FALSE)*(1+Datos!$E$1)), "Revisar")</f>
        <v>503.204</v>
      </c>
      <c r="G332" s="11">
        <f>IFERROR(F332*Datos!$B$3, "Revisar")</f>
        <v>754.806</v>
      </c>
      <c r="H332" s="12">
        <f>IFERROR(G332*Datos!$B$1, "Revisar")</f>
        <v>435935.2616</v>
      </c>
      <c r="I332" s="13">
        <f>IFERROR((VLOOKUP(B332, Roccia!$B$2:$D997, 3, FALSE) /(1-Datos!$E$1)), "Revisar")</f>
        <v>552.9714286</v>
      </c>
      <c r="J332" s="13">
        <f>IFERROR(I332*Datos!$B$3, "Revisar")</f>
        <v>829.4571429</v>
      </c>
      <c r="K332" s="13">
        <f t="shared" si="3"/>
        <v>74.65114286</v>
      </c>
    </row>
    <row r="333">
      <c r="A333" s="8" t="s">
        <v>674</v>
      </c>
      <c r="B333" s="9" t="s">
        <v>689</v>
      </c>
      <c r="C333" s="10" t="s">
        <v>690</v>
      </c>
      <c r="D333" s="11">
        <f t="shared" ref="D333:E333" si="333">IF(MOD(F333, 5) &lt;= 2.5, FLOOR(F333, 5), CEILING(F333, 5))</f>
        <v>115</v>
      </c>
      <c r="E333" s="11">
        <f t="shared" si="333"/>
        <v>175</v>
      </c>
      <c r="F333" s="11">
        <f>IFERROR((VLOOKUP(B333, Roccia!$B$2:$D997, 3, FALSE)*(1+Datos!$E$1)), "Revisar")</f>
        <v>115.011</v>
      </c>
      <c r="G333" s="11">
        <f>IFERROR(F333*Datos!$B$3, "Revisar")</f>
        <v>172.5165</v>
      </c>
      <c r="H333" s="12">
        <f>IFERROR(G333*Datos!$B$1, "Revisar")</f>
        <v>99636.23176</v>
      </c>
      <c r="I333" s="13">
        <f>IFERROR((VLOOKUP(B333, Roccia!$B$2:$D997, 3, FALSE) /(1-Datos!$E$1)), "Revisar")</f>
        <v>126.3857143</v>
      </c>
      <c r="J333" s="13">
        <f>IFERROR(I333*Datos!$B$3, "Revisar")</f>
        <v>189.5785714</v>
      </c>
      <c r="K333" s="13">
        <f t="shared" si="3"/>
        <v>17.06207143</v>
      </c>
    </row>
    <row r="334">
      <c r="A334" s="8" t="s">
        <v>674</v>
      </c>
      <c r="B334" s="9" t="s">
        <v>691</v>
      </c>
      <c r="C334" s="10" t="s">
        <v>692</v>
      </c>
      <c r="D334" s="11">
        <f t="shared" ref="D334:E334" si="334">IF(MOD(F334, 5) &lt;= 2.5, FLOOR(F334, 5), CEILING(F334, 5))</f>
        <v>1100</v>
      </c>
      <c r="E334" s="11">
        <f t="shared" si="334"/>
        <v>1650</v>
      </c>
      <c r="F334" s="11">
        <f>IFERROR((VLOOKUP(B334, Roccia!$B$2:$D997, 3, FALSE)*(1+Datos!$E$1)), "Revisar")</f>
        <v>1100.489</v>
      </c>
      <c r="G334" s="11">
        <f>IFERROR(F334*Datos!$B$3, "Revisar")</f>
        <v>1650.7335</v>
      </c>
      <c r="H334" s="12">
        <f>IFERROR(G334*Datos!$B$1, "Revisar")</f>
        <v>953374.6951</v>
      </c>
      <c r="I334" s="13">
        <f>IFERROR((VLOOKUP(B334, Roccia!$B$2:$D997, 3, FALSE) /(1-Datos!$E$1)), "Revisar")</f>
        <v>1209.328571</v>
      </c>
      <c r="J334" s="13">
        <f>IFERROR(I334*Datos!$B$3, "Revisar")</f>
        <v>1813.992857</v>
      </c>
      <c r="K334" s="13">
        <f t="shared" si="3"/>
        <v>163.2593571</v>
      </c>
    </row>
    <row r="335">
      <c r="A335" s="8" t="s">
        <v>674</v>
      </c>
      <c r="B335" s="9" t="s">
        <v>693</v>
      </c>
      <c r="C335" s="10" t="s">
        <v>694</v>
      </c>
      <c r="D335" s="11">
        <f t="shared" ref="D335:E335" si="335">IF(MOD(F335, 5) &lt;= 2.5, FLOOR(F335, 5), CEILING(F335, 5))</f>
        <v>750</v>
      </c>
      <c r="E335" s="11">
        <f t="shared" si="335"/>
        <v>1125</v>
      </c>
      <c r="F335" s="11">
        <f>IFERROR((VLOOKUP(B335, Roccia!$B$2:$D997, 3, FALSE)*(1+Datos!$E$1)), "Revisar")</f>
        <v>750.425</v>
      </c>
      <c r="G335" s="11">
        <f>IFERROR(F335*Datos!$B$3, "Revisar")</f>
        <v>1125.6375</v>
      </c>
      <c r="H335" s="12">
        <f>IFERROR(G335*Datos!$B$1, "Revisar")</f>
        <v>650107.5481</v>
      </c>
      <c r="I335" s="13">
        <f>IFERROR((VLOOKUP(B335, Roccia!$B$2:$D997, 3, FALSE) /(1-Datos!$E$1)), "Revisar")</f>
        <v>824.6428571</v>
      </c>
      <c r="J335" s="13">
        <f>IFERROR(I335*Datos!$B$3, "Revisar")</f>
        <v>1236.964286</v>
      </c>
      <c r="K335" s="13">
        <f t="shared" si="3"/>
        <v>111.3267857</v>
      </c>
    </row>
    <row r="336">
      <c r="A336" s="8" t="s">
        <v>674</v>
      </c>
      <c r="B336" s="9" t="s">
        <v>695</v>
      </c>
      <c r="C336" s="10" t="s">
        <v>696</v>
      </c>
      <c r="D336" s="11">
        <f t="shared" ref="D336:E336" si="336">IF(MOD(F336, 5) &lt;= 2.5, FLOOR(F336, 5), CEILING(F336, 5))</f>
        <v>470</v>
      </c>
      <c r="E336" s="11">
        <f t="shared" si="336"/>
        <v>705</v>
      </c>
      <c r="F336" s="11">
        <f>IFERROR((VLOOKUP(B336, Roccia!$B$2:$D997, 3, FALSE)*(1+Datos!$E$1)), "Revisar")</f>
        <v>470.392</v>
      </c>
      <c r="G336" s="11">
        <f>IFERROR(F336*Datos!$B$3, "Revisar")</f>
        <v>705.588</v>
      </c>
      <c r="H336" s="12">
        <f>IFERROR(G336*Datos!$B$1, "Revisar")</f>
        <v>407509.5976</v>
      </c>
      <c r="I336" s="13">
        <f>IFERROR((VLOOKUP(B336, Roccia!$B$2:$D997, 3, FALSE) /(1-Datos!$E$1)), "Revisar")</f>
        <v>516.9142857</v>
      </c>
      <c r="J336" s="13">
        <f>IFERROR(I336*Datos!$B$3, "Revisar")</f>
        <v>775.3714286</v>
      </c>
      <c r="K336" s="13">
        <f t="shared" si="3"/>
        <v>69.78342857</v>
      </c>
    </row>
    <row r="337">
      <c r="A337" s="8" t="s">
        <v>674</v>
      </c>
      <c r="B337" s="9" t="s">
        <v>697</v>
      </c>
      <c r="C337" s="10" t="s">
        <v>698</v>
      </c>
      <c r="D337" s="11">
        <f t="shared" ref="D337:E337" si="337">IF(MOD(F337, 5) &lt;= 2.5, FLOOR(F337, 5), CEILING(F337, 5))</f>
        <v>225</v>
      </c>
      <c r="E337" s="11">
        <f t="shared" si="337"/>
        <v>335</v>
      </c>
      <c r="F337" s="11">
        <f>IFERROR((VLOOKUP(B337, Roccia!$B$2:$D997, 3, FALSE)*(1+Datos!$E$1)), "Revisar")</f>
        <v>224.653</v>
      </c>
      <c r="G337" s="11">
        <f>IFERROR(F337*Datos!$B$3, "Revisar")</f>
        <v>336.9795</v>
      </c>
      <c r="H337" s="12">
        <f>IFERROR(G337*Datos!$B$1, "Revisar")</f>
        <v>194621.196</v>
      </c>
      <c r="I337" s="13">
        <f>IFERROR((VLOOKUP(B337, Roccia!$B$2:$D997, 3, FALSE) /(1-Datos!$E$1)), "Revisar")</f>
        <v>246.8714286</v>
      </c>
      <c r="J337" s="13">
        <f>IFERROR(I337*Datos!$B$3, "Revisar")</f>
        <v>370.3071429</v>
      </c>
      <c r="K337" s="13">
        <f t="shared" si="3"/>
        <v>33.32764286</v>
      </c>
    </row>
    <row r="338">
      <c r="A338" s="8" t="s">
        <v>674</v>
      </c>
      <c r="B338" s="9" t="s">
        <v>699</v>
      </c>
      <c r="C338" s="10" t="s">
        <v>700</v>
      </c>
      <c r="D338" s="11">
        <f t="shared" ref="D338:E338" si="338">IF(MOD(F338, 5) &lt;= 2.5, FLOOR(F338, 5), CEILING(F338, 5))</f>
        <v>65</v>
      </c>
      <c r="E338" s="11">
        <f t="shared" si="338"/>
        <v>95</v>
      </c>
      <c r="F338" s="11">
        <f>IFERROR((VLOOKUP(B338, Roccia!$B$2:$D997, 3, FALSE)*(1+Datos!$E$1)), "Revisar")</f>
        <v>65</v>
      </c>
      <c r="G338" s="11">
        <f>IFERROR(F338*Datos!$B$3, "Revisar")</f>
        <v>97.5</v>
      </c>
      <c r="H338" s="12">
        <f>IFERROR(G338*Datos!$B$1, "Revisar")</f>
        <v>56310.74475</v>
      </c>
      <c r="I338" s="13">
        <f>IFERROR((VLOOKUP(B338, Roccia!$B$2:$D997, 3, FALSE) /(1-Datos!$E$1)), "Revisar")</f>
        <v>71.42857143</v>
      </c>
      <c r="J338" s="13">
        <f>IFERROR(I338*Datos!$B$3, "Revisar")</f>
        <v>107.1428571</v>
      </c>
      <c r="K338" s="13">
        <f t="shared" si="3"/>
        <v>9.642857143</v>
      </c>
    </row>
    <row r="339">
      <c r="A339" s="8" t="s">
        <v>674</v>
      </c>
      <c r="B339" s="9" t="s">
        <v>701</v>
      </c>
      <c r="C339" s="10" t="s">
        <v>702</v>
      </c>
      <c r="D339" s="11">
        <f t="shared" ref="D339:E339" si="339">IF(MOD(F339, 5) &lt;= 2.5, FLOOR(F339, 5), CEILING(F339, 5))</f>
        <v>60</v>
      </c>
      <c r="E339" s="11">
        <f t="shared" si="339"/>
        <v>90</v>
      </c>
      <c r="F339" s="11">
        <f>IFERROR((VLOOKUP(B339, Roccia!$B$2:$D997, 3, FALSE)*(1+Datos!$E$1)), "Revisar")</f>
        <v>58.357</v>
      </c>
      <c r="G339" s="11">
        <f>IFERROR(F339*Datos!$B$3, "Revisar")</f>
        <v>87.5355</v>
      </c>
      <c r="H339" s="12">
        <f>IFERROR(G339*Datos!$B$1, "Revisar")</f>
        <v>50555.78664</v>
      </c>
      <c r="I339" s="13">
        <f>IFERROR((VLOOKUP(B339, Roccia!$B$2:$D997, 3, FALSE) /(1-Datos!$E$1)), "Revisar")</f>
        <v>64.12857143</v>
      </c>
      <c r="J339" s="13">
        <f>IFERROR(I339*Datos!$B$3, "Revisar")</f>
        <v>96.19285714</v>
      </c>
      <c r="K339" s="13">
        <f t="shared" si="3"/>
        <v>8.657357143</v>
      </c>
    </row>
    <row r="340">
      <c r="A340" s="8" t="s">
        <v>674</v>
      </c>
      <c r="B340" s="9" t="s">
        <v>703</v>
      </c>
      <c r="C340" s="10" t="s">
        <v>704</v>
      </c>
      <c r="D340" s="11">
        <f t="shared" ref="D340:E340" si="340">IF(MOD(F340, 5) &lt;= 2.5, FLOOR(F340, 5), CEILING(F340, 5))</f>
        <v>45</v>
      </c>
      <c r="E340" s="11">
        <f t="shared" si="340"/>
        <v>70</v>
      </c>
      <c r="F340" s="11">
        <f>IFERROR((VLOOKUP(B340, Roccia!$B$2:$D997, 3, FALSE)*(1+Datos!$E$1)), "Revisar")</f>
        <v>45.5</v>
      </c>
      <c r="G340" s="11">
        <f>IFERROR(F340*Datos!$B$3, "Revisar")</f>
        <v>68.25</v>
      </c>
      <c r="H340" s="12">
        <f>IFERROR(G340*Datos!$B$1, "Revisar")</f>
        <v>39417.52133</v>
      </c>
      <c r="I340" s="13">
        <f>IFERROR((VLOOKUP(B340, Roccia!$B$2:$D997, 3, FALSE) /(1-Datos!$E$1)), "Revisar")</f>
        <v>50</v>
      </c>
      <c r="J340" s="13">
        <f>IFERROR(I340*Datos!$B$3, "Revisar")</f>
        <v>75</v>
      </c>
      <c r="K340" s="13">
        <f t="shared" si="3"/>
        <v>6.75</v>
      </c>
    </row>
    <row r="341">
      <c r="A341" s="8" t="s">
        <v>674</v>
      </c>
      <c r="B341" s="9" t="s">
        <v>705</v>
      </c>
      <c r="C341" s="10" t="s">
        <v>706</v>
      </c>
      <c r="D341" s="11">
        <f t="shared" ref="D341:E341" si="341">IF(MOD(F341, 5) &lt;= 2.5, FLOOR(F341, 5), CEILING(F341, 5))</f>
        <v>45</v>
      </c>
      <c r="E341" s="11">
        <f t="shared" si="341"/>
        <v>70</v>
      </c>
      <c r="F341" s="11">
        <f>IFERROR((VLOOKUP(B341, Roccia!$B$2:$D997, 3, FALSE)*(1+Datos!$E$1)), "Revisar")</f>
        <v>45.5</v>
      </c>
      <c r="G341" s="11">
        <f>IFERROR(F341*Datos!$B$3, "Revisar")</f>
        <v>68.25</v>
      </c>
      <c r="H341" s="12">
        <f>IFERROR(G341*Datos!$B$1, "Revisar")</f>
        <v>39417.52133</v>
      </c>
      <c r="I341" s="13">
        <f>IFERROR((VLOOKUP(B341, Roccia!$B$2:$D997, 3, FALSE) /(1-Datos!$E$1)), "Revisar")</f>
        <v>50</v>
      </c>
      <c r="J341" s="13">
        <f>IFERROR(I341*Datos!$B$3, "Revisar")</f>
        <v>75</v>
      </c>
      <c r="K341" s="13">
        <f t="shared" si="3"/>
        <v>6.75</v>
      </c>
    </row>
    <row r="342">
      <c r="A342" s="8" t="s">
        <v>674</v>
      </c>
      <c r="B342" s="9" t="s">
        <v>707</v>
      </c>
      <c r="C342" s="10" t="s">
        <v>708</v>
      </c>
      <c r="D342" s="11">
        <f t="shared" ref="D342:E342" si="342">IF(MOD(F342, 5) &lt;= 2.5, FLOOR(F342, 5), CEILING(F342, 5))</f>
        <v>175</v>
      </c>
      <c r="E342" s="11">
        <f t="shared" si="342"/>
        <v>260</v>
      </c>
      <c r="F342" s="11">
        <f>IFERROR((VLOOKUP(B342, Roccia!$B$2:$D997, 3, FALSE)*(1+Datos!$E$1)), "Revisar")</f>
        <v>174.278</v>
      </c>
      <c r="G342" s="11">
        <f>IFERROR(F342*Datos!$B$3, "Revisar")</f>
        <v>261.417</v>
      </c>
      <c r="H342" s="12">
        <f>IFERROR(G342*Datos!$B$1, "Revisar")</f>
        <v>150980.3688</v>
      </c>
      <c r="I342" s="13">
        <f>IFERROR((VLOOKUP(B342, Roccia!$B$2:$D997, 3, FALSE) /(1-Datos!$E$1)), "Revisar")</f>
        <v>191.5142857</v>
      </c>
      <c r="J342" s="13">
        <f>IFERROR(I342*Datos!$B$3, "Revisar")</f>
        <v>287.2714286</v>
      </c>
      <c r="K342" s="13">
        <f t="shared" si="3"/>
        <v>25.85442857</v>
      </c>
    </row>
    <row r="343">
      <c r="A343" s="8" t="s">
        <v>674</v>
      </c>
      <c r="B343" s="9" t="s">
        <v>709</v>
      </c>
      <c r="C343" s="10" t="s">
        <v>710</v>
      </c>
      <c r="D343" s="11">
        <f t="shared" ref="D343:E343" si="343">IF(MOD(F343, 5) &lt;= 2.5, FLOOR(F343, 5), CEILING(F343, 5))</f>
        <v>15</v>
      </c>
      <c r="E343" s="11">
        <f t="shared" si="343"/>
        <v>20</v>
      </c>
      <c r="F343" s="11">
        <f>IFERROR((VLOOKUP(B343, Roccia!$B$2:$D997, 3, FALSE)*(1+Datos!$E$1)), "Revisar")</f>
        <v>13.845</v>
      </c>
      <c r="G343" s="11">
        <f>IFERROR(F343*Datos!$B$3, "Revisar")</f>
        <v>20.7675</v>
      </c>
      <c r="H343" s="12">
        <f>IFERROR(G343*Datos!$B$1, "Revisar")</f>
        <v>11994.18863</v>
      </c>
      <c r="I343" s="13">
        <f>IFERROR((VLOOKUP(B343, Roccia!$B$2:$D997, 3, FALSE) /(1-Datos!$E$1)), "Revisar")</f>
        <v>15.21428571</v>
      </c>
      <c r="J343" s="13">
        <f>IFERROR(I343*Datos!$B$3, "Revisar")</f>
        <v>22.82142857</v>
      </c>
      <c r="K343" s="13">
        <f t="shared" si="3"/>
        <v>2.053928571</v>
      </c>
    </row>
    <row r="344">
      <c r="A344" s="8" t="s">
        <v>674</v>
      </c>
      <c r="B344" s="9" t="s">
        <v>711</v>
      </c>
      <c r="C344" s="10" t="s">
        <v>712</v>
      </c>
      <c r="D344" s="11">
        <f t="shared" ref="D344:E344" si="344">IF(MOD(F344, 5) &lt;= 2.5, FLOOR(F344, 5), CEILING(F344, 5))</f>
        <v>15</v>
      </c>
      <c r="E344" s="11">
        <f t="shared" si="344"/>
        <v>25</v>
      </c>
      <c r="F344" s="11">
        <f>IFERROR((VLOOKUP(B344, Roccia!$B$2:$D997, 3, FALSE)*(1+Datos!$E$1)), "Revisar")</f>
        <v>16.159</v>
      </c>
      <c r="G344" s="11">
        <f>IFERROR(F344*Datos!$B$3, "Revisar")</f>
        <v>24.2385</v>
      </c>
      <c r="H344" s="12">
        <f>IFERROR(G344*Datos!$B$1, "Revisar")</f>
        <v>13998.85114</v>
      </c>
      <c r="I344" s="13">
        <f>IFERROR((VLOOKUP(B344, Roccia!$B$2:$D997, 3, FALSE) /(1-Datos!$E$1)), "Revisar")</f>
        <v>17.75714286</v>
      </c>
      <c r="J344" s="13">
        <f>IFERROR(I344*Datos!$B$3, "Revisar")</f>
        <v>26.63571429</v>
      </c>
      <c r="K344" s="13">
        <f t="shared" si="3"/>
        <v>2.397214286</v>
      </c>
    </row>
    <row r="345">
      <c r="A345" s="8" t="s">
        <v>674</v>
      </c>
      <c r="B345" s="9" t="s">
        <v>713</v>
      </c>
      <c r="C345" s="10" t="s">
        <v>714</v>
      </c>
      <c r="D345" s="11">
        <f t="shared" ref="D345:E345" si="345">IF(MOD(F345, 5) &lt;= 2.5, FLOOR(F345, 5), CEILING(F345, 5))</f>
        <v>20</v>
      </c>
      <c r="E345" s="11">
        <f t="shared" si="345"/>
        <v>35</v>
      </c>
      <c r="F345" s="11">
        <f>IFERROR((VLOOKUP(B345, Roccia!$B$2:$D997, 3, FALSE)*(1+Datos!$E$1)), "Revisar")</f>
        <v>21.684</v>
      </c>
      <c r="G345" s="11">
        <f>IFERROR(F345*Datos!$B$3, "Revisar")</f>
        <v>32.526</v>
      </c>
      <c r="H345" s="12">
        <f>IFERROR(G345*Datos!$B$1, "Revisar")</f>
        <v>18785.26445</v>
      </c>
      <c r="I345" s="13">
        <f>IFERROR((VLOOKUP(B345, Roccia!$B$2:$D997, 3, FALSE) /(1-Datos!$E$1)), "Revisar")</f>
        <v>23.82857143</v>
      </c>
      <c r="J345" s="13">
        <f>IFERROR(I345*Datos!$B$3, "Revisar")</f>
        <v>35.74285714</v>
      </c>
      <c r="K345" s="13">
        <f t="shared" si="3"/>
        <v>3.216857143</v>
      </c>
    </row>
    <row r="346">
      <c r="A346" s="8" t="s">
        <v>674</v>
      </c>
      <c r="B346" s="9" t="s">
        <v>715</v>
      </c>
      <c r="C346" s="10" t="s">
        <v>716</v>
      </c>
      <c r="D346" s="11">
        <f t="shared" ref="D346:E346" si="346">IF(MOD(F346, 5) &lt;= 2.5, FLOOR(F346, 5), CEILING(F346, 5))</f>
        <v>25</v>
      </c>
      <c r="E346" s="11">
        <f t="shared" si="346"/>
        <v>40</v>
      </c>
      <c r="F346" s="11">
        <f>IFERROR((VLOOKUP(B346, Roccia!$B$2:$D997, 3, FALSE)*(1+Datos!$E$1)), "Revisar")</f>
        <v>25.753</v>
      </c>
      <c r="G346" s="11">
        <f>IFERROR(F346*Datos!$B$3, "Revisar")</f>
        <v>38.6295</v>
      </c>
      <c r="H346" s="12">
        <f>IFERROR(G346*Datos!$B$1, "Revisar")</f>
        <v>22310.31707</v>
      </c>
      <c r="I346" s="13">
        <f>IFERROR((VLOOKUP(B346, Roccia!$B$2:$D997, 3, FALSE) /(1-Datos!$E$1)), "Revisar")</f>
        <v>28.3</v>
      </c>
      <c r="J346" s="13">
        <f>IFERROR(I346*Datos!$B$3, "Revisar")</f>
        <v>42.45</v>
      </c>
      <c r="K346" s="13">
        <f t="shared" si="3"/>
        <v>3.8205</v>
      </c>
    </row>
    <row r="347">
      <c r="A347" s="8" t="s">
        <v>674</v>
      </c>
      <c r="B347" s="9" t="s">
        <v>717</v>
      </c>
      <c r="C347" s="10" t="s">
        <v>718</v>
      </c>
      <c r="D347" s="11">
        <f t="shared" ref="D347:E347" si="347">IF(MOD(F347, 5) &lt;= 2.5, FLOOR(F347, 5), CEILING(F347, 5))</f>
        <v>30</v>
      </c>
      <c r="E347" s="11">
        <f t="shared" si="347"/>
        <v>45</v>
      </c>
      <c r="F347" s="11">
        <f>IFERROR((VLOOKUP(B347, Roccia!$B$2:$D997, 3, FALSE)*(1+Datos!$E$1)), "Revisar")</f>
        <v>31.603</v>
      </c>
      <c r="G347" s="11">
        <f>IFERROR(F347*Datos!$B$3, "Revisar")</f>
        <v>47.4045</v>
      </c>
      <c r="H347" s="12">
        <f>IFERROR(G347*Datos!$B$1, "Revisar")</f>
        <v>27378.2841</v>
      </c>
      <c r="I347" s="13">
        <f>IFERROR((VLOOKUP(B347, Roccia!$B$2:$D997, 3, FALSE) /(1-Datos!$E$1)), "Revisar")</f>
        <v>34.72857143</v>
      </c>
      <c r="J347" s="13">
        <f>IFERROR(I347*Datos!$B$3, "Revisar")</f>
        <v>52.09285714</v>
      </c>
      <c r="K347" s="13">
        <f t="shared" si="3"/>
        <v>4.688357143</v>
      </c>
    </row>
    <row r="348">
      <c r="A348" s="8" t="s">
        <v>719</v>
      </c>
      <c r="B348" s="9" t="s">
        <v>720</v>
      </c>
      <c r="C348" s="10" t="s">
        <v>721</v>
      </c>
      <c r="D348" s="11">
        <f t="shared" ref="D348:E348" si="348">IF(MOD(F348, 5) &lt;= 2.5, FLOOR(F348, 5), CEILING(F348, 5))</f>
        <v>30655</v>
      </c>
      <c r="E348" s="11">
        <f t="shared" si="348"/>
        <v>45985</v>
      </c>
      <c r="F348" s="11">
        <f>IFERROR((VLOOKUP(B348, Roccia!$B$2:$D997, 3, FALSE)*(1+Datos!$E$1)), "Revisar")</f>
        <v>30656.119</v>
      </c>
      <c r="G348" s="11">
        <f>IFERROR(F348*Datos!$B$3, "Revisar")</f>
        <v>45984.1785</v>
      </c>
      <c r="H348" s="12">
        <f>IFERROR(G348*Datos!$B$1, "Revisar")</f>
        <v>26557982.95</v>
      </c>
      <c r="I348" s="13">
        <f>IFERROR((VLOOKUP(B348, Roccia!$B$2:$D997, 3, FALSE) /(1-Datos!$E$1)), "Revisar")</f>
        <v>33688.04286</v>
      </c>
      <c r="J348" s="13">
        <f>IFERROR(I348*Datos!$B$3, "Revisar")</f>
        <v>50532.06429</v>
      </c>
      <c r="K348" s="13">
        <f t="shared" si="3"/>
        <v>4547.885786</v>
      </c>
    </row>
    <row r="349">
      <c r="A349" s="8" t="s">
        <v>722</v>
      </c>
      <c r="B349" s="9" t="s">
        <v>723</v>
      </c>
      <c r="C349" s="10" t="s">
        <v>724</v>
      </c>
      <c r="D349" s="11">
        <f t="shared" ref="D349:E349" si="349">IF(MOD(F349, 5) &lt;= 2.5, FLOOR(F349, 5), CEILING(F349, 5))</f>
        <v>2910</v>
      </c>
      <c r="E349" s="11">
        <f t="shared" si="349"/>
        <v>4360</v>
      </c>
      <c r="F349" s="11">
        <f>IFERROR((VLOOKUP(B349, Roccia!$B$2:$D997, 3, FALSE)*(1.2)), "Revisar")</f>
        <v>2908.272</v>
      </c>
      <c r="G349" s="11">
        <f>IFERROR(F349*Datos!$B$3, "Revisar")</f>
        <v>4362.408</v>
      </c>
      <c r="H349" s="12">
        <f>IFERROR(G349*Datos!$B$1, "Revisar")</f>
        <v>2519491.727</v>
      </c>
      <c r="I349" s="13">
        <f>IFERROR((VLOOKUP(B349, Roccia!$B$2:$D997, 3, FALSE) /(1-Datos!$E$1)), "Revisar")</f>
        <v>3462.228571</v>
      </c>
      <c r="J349" s="13">
        <f>IFERROR(I349*Datos!$B$3, "Revisar")</f>
        <v>5193.342857</v>
      </c>
      <c r="K349" s="13">
        <f t="shared" si="3"/>
        <v>830.9348571</v>
      </c>
    </row>
    <row r="350">
      <c r="A350" s="8" t="s">
        <v>722</v>
      </c>
      <c r="B350" s="9" t="s">
        <v>725</v>
      </c>
      <c r="C350" s="10" t="s">
        <v>726</v>
      </c>
      <c r="D350" s="11">
        <f t="shared" ref="D350:E350" si="350">IF(MOD(F350, 5) &lt;= 2.5, FLOOR(F350, 5), CEILING(F350, 5))</f>
        <v>2905</v>
      </c>
      <c r="E350" s="11">
        <f t="shared" si="350"/>
        <v>4355</v>
      </c>
      <c r="F350" s="11">
        <f>IFERROR((VLOOKUP(B350, Roccia!$B$2:$D997, 3, FALSE)*(1.2)), "Revisar")</f>
        <v>2903.196</v>
      </c>
      <c r="G350" s="11">
        <f>IFERROR(F350*Datos!$B$3, "Revisar")</f>
        <v>4354.794</v>
      </c>
      <c r="H350" s="12">
        <f>IFERROR(G350*Datos!$B$1, "Revisar")</f>
        <v>2515094.291</v>
      </c>
      <c r="I350" s="13">
        <f>IFERROR((VLOOKUP(B350, Roccia!$B$2:$D997, 3, FALSE) /(1-Datos!$E$1)), "Revisar")</f>
        <v>3456.185714</v>
      </c>
      <c r="J350" s="13">
        <f>IFERROR(I350*Datos!$B$3, "Revisar")</f>
        <v>5184.278571</v>
      </c>
      <c r="K350" s="13">
        <f t="shared" si="3"/>
        <v>829.4845714</v>
      </c>
    </row>
    <row r="351">
      <c r="A351" s="8" t="s">
        <v>722</v>
      </c>
      <c r="B351" s="9" t="s">
        <v>727</v>
      </c>
      <c r="C351" s="10" t="s">
        <v>728</v>
      </c>
      <c r="D351" s="11">
        <f t="shared" ref="D351:E351" si="351">IF(MOD(F351, 5) &lt;= 2.5, FLOOR(F351, 5), CEILING(F351, 5))</f>
        <v>1645</v>
      </c>
      <c r="E351" s="11">
        <f t="shared" si="351"/>
        <v>2470</v>
      </c>
      <c r="F351" s="11">
        <f>IFERROR((VLOOKUP(B351, Roccia!$B$2:$D997, 3, FALSE)*(1.2)), "Revisar")</f>
        <v>1647.3</v>
      </c>
      <c r="G351" s="11">
        <f>IFERROR(F351*Datos!$B$3, "Revisar")</f>
        <v>2470.95</v>
      </c>
      <c r="H351" s="12">
        <f>IFERROR(G351*Datos!$B$1, "Revisar")</f>
        <v>1427087.536</v>
      </c>
      <c r="I351" s="13">
        <f>IFERROR((VLOOKUP(B351, Roccia!$B$2:$D997, 3, FALSE) /(1-Datos!$E$1)), "Revisar")</f>
        <v>1961.071429</v>
      </c>
      <c r="J351" s="13">
        <f>IFERROR(I351*Datos!$B$3, "Revisar")</f>
        <v>2941.607143</v>
      </c>
      <c r="K351" s="13">
        <f t="shared" si="3"/>
        <v>470.6571429</v>
      </c>
    </row>
    <row r="352">
      <c r="A352" s="8" t="s">
        <v>722</v>
      </c>
      <c r="B352" s="9" t="s">
        <v>729</v>
      </c>
      <c r="C352" s="10" t="s">
        <v>730</v>
      </c>
      <c r="D352" s="11">
        <f t="shared" ref="D352:E352" si="352">IF(MOD(F352, 5) &lt;= 2.5, FLOOR(F352, 5), CEILING(F352, 5))</f>
        <v>1710</v>
      </c>
      <c r="E352" s="11">
        <f t="shared" si="352"/>
        <v>2565</v>
      </c>
      <c r="F352" s="11">
        <f>IFERROR((VLOOKUP(B352, Roccia!$B$2:$D997, 3, FALSE)*(1.2)), "Revisar")</f>
        <v>1709.352</v>
      </c>
      <c r="G352" s="11">
        <f>IFERROR(F352*Datos!$B$3, "Revisar")</f>
        <v>2564.028</v>
      </c>
      <c r="H352" s="12">
        <f>IFERROR(G352*Datos!$B$1, "Revisar")</f>
        <v>1480844.372</v>
      </c>
      <c r="I352" s="13">
        <f>IFERROR((VLOOKUP(B352, Roccia!$B$2:$D997, 3, FALSE) /(1-Datos!$E$1)), "Revisar")</f>
        <v>2034.942857</v>
      </c>
      <c r="J352" s="13">
        <f>IFERROR(I352*Datos!$B$3, "Revisar")</f>
        <v>3052.414286</v>
      </c>
      <c r="K352" s="13">
        <f t="shared" si="3"/>
        <v>488.3862857</v>
      </c>
    </row>
    <row r="353">
      <c r="A353" s="8" t="s">
        <v>722</v>
      </c>
      <c r="B353" s="9" t="s">
        <v>731</v>
      </c>
      <c r="C353" s="10" t="s">
        <v>732</v>
      </c>
      <c r="D353" s="11">
        <f t="shared" ref="D353:E353" si="353">IF(MOD(F353, 5) &lt;= 2.5, FLOOR(F353, 5), CEILING(F353, 5))</f>
        <v>2740</v>
      </c>
      <c r="E353" s="11">
        <f t="shared" si="353"/>
        <v>4110</v>
      </c>
      <c r="F353" s="11">
        <f>IFERROR((VLOOKUP(B353, Roccia!$B$2:$D997, 3, FALSE)*(1.2)), "Revisar")</f>
        <v>2740.776</v>
      </c>
      <c r="G353" s="11">
        <f>IFERROR(F353*Datos!$B$3, "Revisar")</f>
        <v>4111.164</v>
      </c>
      <c r="H353" s="12">
        <f>IFERROR(G353*Datos!$B$1, "Revisar")</f>
        <v>2374386.735</v>
      </c>
      <c r="I353" s="13">
        <f>IFERROR((VLOOKUP(B353, Roccia!$B$2:$D997, 3, FALSE) /(1-Datos!$E$1)), "Revisar")</f>
        <v>3262.828571</v>
      </c>
      <c r="J353" s="13">
        <f>IFERROR(I353*Datos!$B$3, "Revisar")</f>
        <v>4894.242857</v>
      </c>
      <c r="K353" s="13">
        <f t="shared" si="3"/>
        <v>783.0788571</v>
      </c>
    </row>
    <row r="354">
      <c r="A354" s="8" t="s">
        <v>722</v>
      </c>
      <c r="B354" s="9" t="s">
        <v>733</v>
      </c>
      <c r="C354" s="10" t="s">
        <v>734</v>
      </c>
      <c r="D354" s="11">
        <f t="shared" ref="D354:E354" si="354">IF(MOD(F354, 5) &lt;= 2.5, FLOOR(F354, 5), CEILING(F354, 5))</f>
        <v>2730</v>
      </c>
      <c r="E354" s="11">
        <f t="shared" si="354"/>
        <v>4095</v>
      </c>
      <c r="F354" s="11">
        <f>IFERROR((VLOOKUP(B354, Roccia!$B$2:$D997, 3, FALSE)*(1.2)), "Revisar")</f>
        <v>2729.292</v>
      </c>
      <c r="G354" s="11">
        <f>IFERROR(F354*Datos!$B$3, "Revisar")</f>
        <v>4093.938</v>
      </c>
      <c r="H354" s="12">
        <f>IFERROR(G354*Datos!$B$1, "Revisar")</f>
        <v>2364437.926</v>
      </c>
      <c r="I354" s="13">
        <f>IFERROR((VLOOKUP(B354, Roccia!$B$2:$D997, 3, FALSE) /(1-Datos!$E$1)), "Revisar")</f>
        <v>3249.157143</v>
      </c>
      <c r="J354" s="13">
        <f>IFERROR(I354*Datos!$B$3, "Revisar")</f>
        <v>4873.735714</v>
      </c>
      <c r="K354" s="13">
        <f t="shared" si="3"/>
        <v>779.7977143</v>
      </c>
    </row>
    <row r="355">
      <c r="A355" s="8" t="s">
        <v>735</v>
      </c>
      <c r="B355" s="9" t="s">
        <v>736</v>
      </c>
      <c r="C355" s="10" t="s">
        <v>737</v>
      </c>
      <c r="D355" s="11">
        <f t="shared" ref="D355:E355" si="355">IF(MOD(F355, 5) &lt;= 2.5, FLOOR(F355, 5), CEILING(F355, 5))</f>
        <v>13390</v>
      </c>
      <c r="E355" s="11">
        <f t="shared" si="355"/>
        <v>20085</v>
      </c>
      <c r="F355" s="11">
        <f>IFERROR((VLOOKUP(B355, Roccia!$B$2:$D997, 3, FALSE)*(1+Datos!$E$1)), "Revisar")</f>
        <v>13391.3</v>
      </c>
      <c r="G355" s="11">
        <f>IFERROR(F355*Datos!$B$3, "Revisar")</f>
        <v>20086.95</v>
      </c>
      <c r="H355" s="12">
        <f>IFERROR(G355*Datos!$B$1, "Revisar")</f>
        <v>11601139.63</v>
      </c>
      <c r="I355" s="13">
        <f>IFERROR((VLOOKUP(B355, Roccia!$B$2:$D997, 3, FALSE) /(1-Datos!$E$1)), "Revisar")</f>
        <v>14715.71429</v>
      </c>
      <c r="J355" s="13">
        <f>IFERROR(I355*Datos!$B$3, "Revisar")</f>
        <v>22073.57143</v>
      </c>
      <c r="K355" s="13">
        <f t="shared" si="3"/>
        <v>1986.621429</v>
      </c>
    </row>
    <row r="356">
      <c r="A356" s="8" t="s">
        <v>735</v>
      </c>
      <c r="B356" s="9" t="s">
        <v>738</v>
      </c>
      <c r="C356" s="10" t="s">
        <v>739</v>
      </c>
      <c r="D356" s="11">
        <f t="shared" ref="D356:E356" si="356">IF(MOD(F356, 5) &lt;= 2.5, FLOOR(F356, 5), CEILING(F356, 5))</f>
        <v>13890</v>
      </c>
      <c r="E356" s="11">
        <f t="shared" si="356"/>
        <v>20835</v>
      </c>
      <c r="F356" s="11">
        <f>IFERROR((VLOOKUP(B356, Roccia!$B$2:$D997, 3, FALSE)*(1+Datos!$E$1)), "Revisar")</f>
        <v>13889.46</v>
      </c>
      <c r="G356" s="11">
        <f>IFERROR(F356*Datos!$B$3, "Revisar")</f>
        <v>20834.19</v>
      </c>
      <c r="H356" s="12">
        <f>IFERROR(G356*Datos!$B$1, "Revisar")</f>
        <v>12032705.18</v>
      </c>
      <c r="I356" s="13">
        <f>IFERROR((VLOOKUP(B356, Roccia!$B$2:$D997, 3, FALSE) /(1-Datos!$E$1)), "Revisar")</f>
        <v>15263.14286</v>
      </c>
      <c r="J356" s="13">
        <f>IFERROR(I356*Datos!$B$3, "Revisar")</f>
        <v>22894.71429</v>
      </c>
      <c r="K356" s="13">
        <f t="shared" si="3"/>
        <v>2060.524286</v>
      </c>
    </row>
    <row r="357">
      <c r="A357" s="8" t="s">
        <v>735</v>
      </c>
      <c r="B357" s="9" t="s">
        <v>740</v>
      </c>
      <c r="C357" s="10" t="s">
        <v>741</v>
      </c>
      <c r="D357" s="11">
        <f t="shared" ref="D357:E357" si="357">IF(MOD(F357, 5) &lt;= 2.5, FLOOR(F357, 5), CEILING(F357, 5))</f>
        <v>14565</v>
      </c>
      <c r="E357" s="11">
        <f t="shared" si="357"/>
        <v>21850</v>
      </c>
      <c r="F357" s="11">
        <f>IFERROR((VLOOKUP(B357, Roccia!$B$2:$D997, 3, FALSE)*(1+Datos!$E$1)), "Revisar")</f>
        <v>14565.694</v>
      </c>
      <c r="G357" s="11">
        <f>IFERROR(F357*Datos!$B$3, "Revisar")</f>
        <v>21848.541</v>
      </c>
      <c r="H357" s="12">
        <f>IFERROR(G357*Datos!$B$1, "Revisar")</f>
        <v>12618539.65</v>
      </c>
      <c r="I357" s="13">
        <f>IFERROR((VLOOKUP(B357, Roccia!$B$2:$D997, 3, FALSE) /(1-Datos!$E$1)), "Revisar")</f>
        <v>16006.25714</v>
      </c>
      <c r="J357" s="13">
        <f>IFERROR(I357*Datos!$B$3, "Revisar")</f>
        <v>24009.38571</v>
      </c>
      <c r="K357" s="13">
        <f t="shared" si="3"/>
        <v>2160.844714</v>
      </c>
    </row>
    <row r="358">
      <c r="A358" s="8" t="s">
        <v>735</v>
      </c>
      <c r="B358" s="9" t="s">
        <v>742</v>
      </c>
      <c r="C358" s="10" t="s">
        <v>743</v>
      </c>
      <c r="D358" s="11">
        <f t="shared" ref="D358:E358" si="358">IF(MOD(F358, 5) &lt;= 2.5, FLOOR(F358, 5), CEILING(F358, 5))</f>
        <v>16840</v>
      </c>
      <c r="E358" s="11">
        <f t="shared" si="358"/>
        <v>25260</v>
      </c>
      <c r="F358" s="11">
        <f>IFERROR((VLOOKUP(B358, Roccia!$B$2:$D997, 3, FALSE)*(1+Datos!$E$1)), "Revisar")</f>
        <v>16838.887</v>
      </c>
      <c r="G358" s="11">
        <f>IFERROR(F358*Datos!$B$3, "Revisar")</f>
        <v>25258.3305</v>
      </c>
      <c r="H358" s="12">
        <f>IFERROR(G358*Datos!$B$1, "Revisar")</f>
        <v>14587850.27</v>
      </c>
      <c r="I358" s="13">
        <f>IFERROR((VLOOKUP(B358, Roccia!$B$2:$D997, 3, FALSE) /(1-Datos!$E$1)), "Revisar")</f>
        <v>18504.27143</v>
      </c>
      <c r="J358" s="13">
        <f>IFERROR(I358*Datos!$B$3, "Revisar")</f>
        <v>27756.40714</v>
      </c>
      <c r="K358" s="13">
        <f t="shared" si="3"/>
        <v>2498.076643</v>
      </c>
    </row>
    <row r="359">
      <c r="A359" s="8" t="s">
        <v>735</v>
      </c>
      <c r="B359" s="9" t="s">
        <v>744</v>
      </c>
      <c r="C359" s="10" t="s">
        <v>745</v>
      </c>
      <c r="D359" s="11">
        <f t="shared" ref="D359:E359" si="359">IF(MOD(F359, 5) &lt;= 2.5, FLOOR(F359, 5), CEILING(F359, 5))</f>
        <v>17075</v>
      </c>
      <c r="E359" s="11">
        <f t="shared" si="359"/>
        <v>25615</v>
      </c>
      <c r="F359" s="11">
        <f>IFERROR((VLOOKUP(B359, Roccia!$B$2:$D997, 3, FALSE)*(1+Datos!$E$1)), "Revisar")</f>
        <v>17075.214</v>
      </c>
      <c r="G359" s="11">
        <f>IFERROR(F359*Datos!$B$3, "Revisar")</f>
        <v>25612.821</v>
      </c>
      <c r="H359" s="12">
        <f>IFERROR(G359*Datos!$B$1, "Revisar")</f>
        <v>14792584.88</v>
      </c>
      <c r="I359" s="13">
        <f>IFERROR((VLOOKUP(B359, Roccia!$B$2:$D997, 3, FALSE) /(1-Datos!$E$1)), "Revisar")</f>
        <v>18763.97143</v>
      </c>
      <c r="J359" s="13">
        <f>IFERROR(I359*Datos!$B$3, "Revisar")</f>
        <v>28145.95714</v>
      </c>
      <c r="K359" s="13">
        <f t="shared" si="3"/>
        <v>2533.136143</v>
      </c>
    </row>
    <row r="360">
      <c r="A360" s="8" t="s">
        <v>735</v>
      </c>
      <c r="B360" s="9" t="s">
        <v>746</v>
      </c>
      <c r="C360" s="10" t="s">
        <v>747</v>
      </c>
      <c r="D360" s="11">
        <f t="shared" ref="D360:E360" si="360">IF(MOD(F360, 5) &lt;= 2.5, FLOOR(F360, 5), CEILING(F360, 5))</f>
        <v>22685</v>
      </c>
      <c r="E360" s="11">
        <f t="shared" si="360"/>
        <v>34030</v>
      </c>
      <c r="F360" s="11">
        <f>IFERROR((VLOOKUP(B360, Roccia!$B$2:$D997, 3, FALSE)*(1+Datos!$E$1)), "Revisar")</f>
        <v>22686.352</v>
      </c>
      <c r="G360" s="11">
        <f>IFERROR(F360*Datos!$B$3, "Revisar")</f>
        <v>34029.528</v>
      </c>
      <c r="H360" s="12">
        <f>IFERROR(G360*Datos!$B$1, "Revisar")</f>
        <v>19653621.18</v>
      </c>
      <c r="I360" s="13">
        <f>IFERROR((VLOOKUP(B360, Roccia!$B$2:$D997, 3, FALSE) /(1-Datos!$E$1)), "Revisar")</f>
        <v>24930.05714</v>
      </c>
      <c r="J360" s="13">
        <f>IFERROR(I360*Datos!$B$3, "Revisar")</f>
        <v>37395.08571</v>
      </c>
      <c r="K360" s="13">
        <f t="shared" si="3"/>
        <v>3365.557714</v>
      </c>
    </row>
    <row r="361">
      <c r="A361" s="8" t="s">
        <v>735</v>
      </c>
      <c r="B361" s="9" t="s">
        <v>748</v>
      </c>
      <c r="C361" s="10" t="s">
        <v>749</v>
      </c>
      <c r="D361" s="11">
        <f t="shared" ref="D361:E361" si="361">IF(MOD(F361, 5) &lt;= 2.5, FLOOR(F361, 5), CEILING(F361, 5))</f>
        <v>29290</v>
      </c>
      <c r="E361" s="11">
        <f t="shared" si="361"/>
        <v>43935</v>
      </c>
      <c r="F361" s="11">
        <f>IFERROR((VLOOKUP(B361, Roccia!$B$2:$D997, 3, FALSE)*(1+Datos!$E$1)), "Revisar")</f>
        <v>29290.898</v>
      </c>
      <c r="G361" s="11">
        <f>IFERROR(F361*Datos!$B$3, "Revisar")</f>
        <v>43936.347</v>
      </c>
      <c r="H361" s="12">
        <f>IFERROR(G361*Datos!$B$1, "Revisar")</f>
        <v>25375265.86</v>
      </c>
      <c r="I361" s="13">
        <f>IFERROR((VLOOKUP(B361, Roccia!$B$2:$D997, 3, FALSE) /(1-Datos!$E$1)), "Revisar")</f>
        <v>32187.8</v>
      </c>
      <c r="J361" s="13">
        <f>IFERROR(I361*Datos!$B$3, "Revisar")</f>
        <v>48281.7</v>
      </c>
      <c r="K361" s="13">
        <f t="shared" si="3"/>
        <v>4345.353</v>
      </c>
    </row>
    <row r="362">
      <c r="A362" s="8" t="s">
        <v>735</v>
      </c>
      <c r="B362" s="9" t="s">
        <v>750</v>
      </c>
      <c r="C362" s="10" t="s">
        <v>751</v>
      </c>
      <c r="D362" s="11">
        <f t="shared" ref="D362:E362" si="362">IF(MOD(F362, 5) &lt;= 2.5, FLOOR(F362, 5), CEILING(F362, 5))</f>
        <v>37905</v>
      </c>
      <c r="E362" s="11">
        <f t="shared" si="362"/>
        <v>56860</v>
      </c>
      <c r="F362" s="11">
        <f>IFERROR((VLOOKUP(B362, Roccia!$B$2:$D997, 3, FALSE)*(1+Datos!$E$1)), "Revisar")</f>
        <v>37906.843</v>
      </c>
      <c r="G362" s="11">
        <f>IFERROR(F362*Datos!$B$3, "Revisar")</f>
        <v>56860.2645</v>
      </c>
      <c r="H362" s="12">
        <f>IFERROR(G362*Datos!$B$1, "Revisar")</f>
        <v>32839424.01</v>
      </c>
      <c r="I362" s="13">
        <f>IFERROR((VLOOKUP(B362, Roccia!$B$2:$D997, 3, FALSE) /(1-Datos!$E$1)), "Revisar")</f>
        <v>41655.87143</v>
      </c>
      <c r="J362" s="13">
        <f>IFERROR(I362*Datos!$B$3, "Revisar")</f>
        <v>62483.80714</v>
      </c>
      <c r="K362" s="13">
        <f t="shared" si="3"/>
        <v>5623.542643</v>
      </c>
    </row>
    <row r="363">
      <c r="A363" s="8" t="s">
        <v>735</v>
      </c>
      <c r="B363" s="9" t="s">
        <v>752</v>
      </c>
      <c r="C363" s="10" t="s">
        <v>753</v>
      </c>
      <c r="D363" s="11">
        <f t="shared" ref="D363:E363" si="363">IF(MOD(F363, 5) &lt;= 2.5, FLOOR(F363, 5), CEILING(F363, 5))</f>
        <v>43245</v>
      </c>
      <c r="E363" s="11">
        <f t="shared" si="363"/>
        <v>64870</v>
      </c>
      <c r="F363" s="11">
        <f>IFERROR((VLOOKUP(B363, Roccia!$B$2:$D997, 3, FALSE)*(1+Datos!$E$1)), "Revisar")</f>
        <v>43247.022</v>
      </c>
      <c r="G363" s="11">
        <f>IFERROR(F363*Datos!$B$3, "Revisar")</f>
        <v>64870.533</v>
      </c>
      <c r="H363" s="12">
        <f>IFERROR(G363*Datos!$B$1, "Revisar")</f>
        <v>37465723.34</v>
      </c>
      <c r="I363" s="13">
        <f>IFERROR((VLOOKUP(B363, Roccia!$B$2:$D997, 3, FALSE) /(1-Datos!$E$1)), "Revisar")</f>
        <v>47524.2</v>
      </c>
      <c r="J363" s="13">
        <f>IFERROR(I363*Datos!$B$3, "Revisar")</f>
        <v>71286.3</v>
      </c>
      <c r="K363" s="13">
        <f t="shared" si="3"/>
        <v>6415.767</v>
      </c>
    </row>
    <row r="364">
      <c r="A364" s="8" t="s">
        <v>754</v>
      </c>
      <c r="B364" s="9" t="s">
        <v>755</v>
      </c>
      <c r="C364" s="10" t="s">
        <v>756</v>
      </c>
      <c r="D364" s="11">
        <f t="shared" ref="D364:E364" si="364">IF(MOD(F364, 5) &lt;= 2.5, FLOOR(F364, 5), CEILING(F364, 5))</f>
        <v>205</v>
      </c>
      <c r="E364" s="11">
        <f t="shared" si="364"/>
        <v>310</v>
      </c>
      <c r="F364" s="11">
        <f>IFERROR((VLOOKUP(B364, Roccia!$B$2:$D997, 3, FALSE)*(1+Datos!$E$1)), "Revisar")</f>
        <v>206.999</v>
      </c>
      <c r="G364" s="11">
        <f>IFERROR(F364*Datos!$B$3, "Revisar")</f>
        <v>310.4985</v>
      </c>
      <c r="H364" s="12">
        <f>IFERROR(G364*Datos!$B$1, "Revisar")</f>
        <v>179327.1977</v>
      </c>
      <c r="I364" s="13">
        <f>IFERROR((VLOOKUP(B364, Roccia!$B$2:$D997, 3, FALSE) /(1-Datos!$E$1)), "Revisar")</f>
        <v>227.4714286</v>
      </c>
      <c r="J364" s="13">
        <f>IFERROR(I364*Datos!$B$3, "Revisar")</f>
        <v>341.2071429</v>
      </c>
      <c r="K364" s="13">
        <f t="shared" si="3"/>
        <v>30.70864286</v>
      </c>
    </row>
    <row r="365">
      <c r="A365" s="8" t="s">
        <v>754</v>
      </c>
      <c r="B365" s="9" t="s">
        <v>757</v>
      </c>
      <c r="C365" s="10" t="s">
        <v>758</v>
      </c>
      <c r="D365" s="11">
        <f t="shared" ref="D365:E365" si="365">IF(MOD(F365, 5) &lt;= 2.5, FLOOR(F365, 5), CEILING(F365, 5))</f>
        <v>205</v>
      </c>
      <c r="E365" s="11">
        <f t="shared" si="365"/>
        <v>310</v>
      </c>
      <c r="F365" s="11">
        <f>IFERROR((VLOOKUP(B365, Roccia!$B$2:$D997, 3, FALSE)*(1+Datos!$E$1)), "Revisar")</f>
        <v>206.999</v>
      </c>
      <c r="G365" s="11">
        <f>IFERROR(F365*Datos!$B$3, "Revisar")</f>
        <v>310.4985</v>
      </c>
      <c r="H365" s="12">
        <f>IFERROR(G365*Datos!$B$1, "Revisar")</f>
        <v>179327.1977</v>
      </c>
      <c r="I365" s="13">
        <f>IFERROR((VLOOKUP(B365, Roccia!$B$2:$D997, 3, FALSE) /(1-Datos!$E$1)), "Revisar")</f>
        <v>227.4714286</v>
      </c>
      <c r="J365" s="13">
        <f>IFERROR(I365*Datos!$B$3, "Revisar")</f>
        <v>341.2071429</v>
      </c>
      <c r="K365" s="13">
        <f t="shared" si="3"/>
        <v>30.70864286</v>
      </c>
    </row>
    <row r="366">
      <c r="A366" s="8" t="s">
        <v>754</v>
      </c>
      <c r="B366" s="9" t="s">
        <v>759</v>
      </c>
      <c r="C366" s="10" t="s">
        <v>760</v>
      </c>
      <c r="D366" s="11">
        <f t="shared" ref="D366:E366" si="366">IF(MOD(F366, 5) &lt;= 2.5, FLOOR(F366, 5), CEILING(F366, 5))</f>
        <v>360</v>
      </c>
      <c r="E366" s="11">
        <f t="shared" si="366"/>
        <v>540</v>
      </c>
      <c r="F366" s="11">
        <f>IFERROR((VLOOKUP(B366, Roccia!$B$2:$D997, 3, FALSE)*(1+Datos!$E$1)), "Revisar")</f>
        <v>361.348</v>
      </c>
      <c r="G366" s="11">
        <f>IFERROR(F366*Datos!$B$3, "Revisar")</f>
        <v>542.022</v>
      </c>
      <c r="H366" s="12">
        <f>IFERROR(G366*Datos!$B$1, "Revisar")</f>
        <v>313042.6922</v>
      </c>
      <c r="I366" s="13">
        <f>IFERROR((VLOOKUP(B366, Roccia!$B$2:$D997, 3, FALSE) /(1-Datos!$E$1)), "Revisar")</f>
        <v>397.0857143</v>
      </c>
      <c r="J366" s="13">
        <f>IFERROR(I366*Datos!$B$3, "Revisar")</f>
        <v>595.6285714</v>
      </c>
      <c r="K366" s="13">
        <f t="shared" si="3"/>
        <v>53.60657143</v>
      </c>
    </row>
    <row r="367">
      <c r="A367" s="8" t="s">
        <v>754</v>
      </c>
      <c r="B367" s="9" t="s">
        <v>761</v>
      </c>
      <c r="C367" s="10" t="s">
        <v>762</v>
      </c>
      <c r="D367" s="11">
        <f t="shared" ref="D367:E367" si="367">IF(MOD(F367, 5) &lt;= 2.5, FLOOR(F367, 5), CEILING(F367, 5))</f>
        <v>15</v>
      </c>
      <c r="E367" s="11">
        <f t="shared" si="367"/>
        <v>20</v>
      </c>
      <c r="F367" s="11">
        <f>IFERROR((VLOOKUP(B367, Roccia!$B$2:$D997, 3, FALSE)*(1+Datos!$E$1)), "Revisar")</f>
        <v>14.833</v>
      </c>
      <c r="G367" s="11">
        <f>IFERROR(F367*Datos!$B$3, "Revisar")</f>
        <v>22.2495</v>
      </c>
      <c r="H367" s="12">
        <f>IFERROR(G367*Datos!$B$1, "Revisar")</f>
        <v>12850.11195</v>
      </c>
      <c r="I367" s="13">
        <f>IFERROR((VLOOKUP(B367, Roccia!$B$2:$D997, 3, FALSE) /(1-Datos!$E$1)), "Revisar")</f>
        <v>16.3</v>
      </c>
      <c r="J367" s="13">
        <f>IFERROR(I367*Datos!$B$3, "Revisar")</f>
        <v>24.45</v>
      </c>
      <c r="K367" s="13">
        <f t="shared" si="3"/>
        <v>2.2005</v>
      </c>
    </row>
    <row r="368">
      <c r="A368" s="8" t="s">
        <v>754</v>
      </c>
      <c r="B368" s="9" t="s">
        <v>763</v>
      </c>
      <c r="C368" s="10" t="s">
        <v>764</v>
      </c>
      <c r="D368" s="11">
        <f t="shared" ref="D368:E368" si="368">IF(MOD(F368, 5) &lt;= 2.5, FLOOR(F368, 5), CEILING(F368, 5))</f>
        <v>10</v>
      </c>
      <c r="E368" s="11">
        <f t="shared" si="368"/>
        <v>15</v>
      </c>
      <c r="F368" s="11">
        <f>IFERROR((VLOOKUP(B368, Roccia!$B$2:$D997, 3, FALSE)*(1+Datos!$E$1)), "Revisar")</f>
        <v>8.346</v>
      </c>
      <c r="G368" s="11">
        <f>IFERROR(F368*Datos!$B$3, "Revisar")</f>
        <v>12.519</v>
      </c>
      <c r="H368" s="12">
        <f>IFERROR(G368*Datos!$B$1, "Revisar")</f>
        <v>7230.299626</v>
      </c>
      <c r="I368" s="13">
        <f>IFERROR((VLOOKUP(B368, Roccia!$B$2:$D997, 3, FALSE) /(1-Datos!$E$1)), "Revisar")</f>
        <v>9.171428571</v>
      </c>
      <c r="J368" s="13">
        <f>IFERROR(I368*Datos!$B$3, "Revisar")</f>
        <v>13.75714286</v>
      </c>
      <c r="K368" s="13">
        <f t="shared" si="3"/>
        <v>1.238142857</v>
      </c>
    </row>
    <row r="369">
      <c r="A369" s="8" t="s">
        <v>754</v>
      </c>
      <c r="B369" s="9" t="s">
        <v>765</v>
      </c>
      <c r="C369" s="10" t="s">
        <v>766</v>
      </c>
      <c r="D369" s="11">
        <f t="shared" ref="D369:E369" si="369">IF(MOD(F369, 5) &lt;= 2.5, FLOOR(F369, 5), CEILING(F369, 5))</f>
        <v>10</v>
      </c>
      <c r="E369" s="11">
        <f t="shared" si="369"/>
        <v>15</v>
      </c>
      <c r="F369" s="11">
        <f>IFERROR((VLOOKUP(B369, Roccia!$B$2:$D997, 3, FALSE)*(1+Datos!$E$1)), "Revisar")</f>
        <v>8.346</v>
      </c>
      <c r="G369" s="11">
        <f>IFERROR(F369*Datos!$B$3, "Revisar")</f>
        <v>12.519</v>
      </c>
      <c r="H369" s="12">
        <f>IFERROR(G369*Datos!$B$1, "Revisar")</f>
        <v>7230.299626</v>
      </c>
      <c r="I369" s="13">
        <f>IFERROR((VLOOKUP(B369, Roccia!$B$2:$D997, 3, FALSE) /(1-Datos!$E$1)), "Revisar")</f>
        <v>9.171428571</v>
      </c>
      <c r="J369" s="13">
        <f>IFERROR(I369*Datos!$B$3, "Revisar")</f>
        <v>13.75714286</v>
      </c>
      <c r="K369" s="13">
        <f t="shared" si="3"/>
        <v>1.238142857</v>
      </c>
    </row>
    <row r="370">
      <c r="A370" s="8" t="s">
        <v>754</v>
      </c>
      <c r="B370" s="9" t="s">
        <v>767</v>
      </c>
      <c r="C370" s="10" t="s">
        <v>768</v>
      </c>
      <c r="D370" s="11">
        <f t="shared" ref="D370:E370" si="370">IF(MOD(F370, 5) &lt;= 2.5, FLOOR(F370, 5), CEILING(F370, 5))</f>
        <v>15</v>
      </c>
      <c r="E370" s="11">
        <f t="shared" si="370"/>
        <v>25</v>
      </c>
      <c r="F370" s="11">
        <f>IFERROR((VLOOKUP(B370, Roccia!$B$2:$D997, 3, FALSE)*(1+Datos!$E$1)), "Revisar")</f>
        <v>17.446</v>
      </c>
      <c r="G370" s="11">
        <f>IFERROR(F370*Datos!$B$3, "Revisar")</f>
        <v>26.169</v>
      </c>
      <c r="H370" s="12">
        <f>IFERROR(G370*Datos!$B$1, "Revisar")</f>
        <v>15113.80389</v>
      </c>
      <c r="I370" s="13">
        <f>IFERROR((VLOOKUP(B370, Roccia!$B$2:$D997, 3, FALSE) /(1-Datos!$E$1)), "Revisar")</f>
        <v>19.17142857</v>
      </c>
      <c r="J370" s="13">
        <f>IFERROR(I370*Datos!$B$3, "Revisar")</f>
        <v>28.75714286</v>
      </c>
      <c r="K370" s="13">
        <f t="shared" si="3"/>
        <v>2.588142857</v>
      </c>
    </row>
    <row r="371">
      <c r="A371" s="8" t="s">
        <v>754</v>
      </c>
      <c r="B371" s="9" t="s">
        <v>769</v>
      </c>
      <c r="C371" s="10" t="s">
        <v>770</v>
      </c>
      <c r="D371" s="11">
        <f t="shared" ref="D371:E371" si="371">IF(MOD(F371, 5) &lt;= 2.5, FLOOR(F371, 5), CEILING(F371, 5))</f>
        <v>220</v>
      </c>
      <c r="E371" s="11">
        <f t="shared" si="371"/>
        <v>335</v>
      </c>
      <c r="F371" s="11">
        <f>IFERROR((VLOOKUP(B371, Roccia!$B$2:$D997, 3, FALSE)*(1+Datos!$E$1)), "Revisar")</f>
        <v>222.3</v>
      </c>
      <c r="G371" s="11">
        <f>IFERROR(F371*Datos!$B$3, "Revisar")</f>
        <v>333.45</v>
      </c>
      <c r="H371" s="12">
        <f>IFERROR(G371*Datos!$B$1, "Revisar")</f>
        <v>192582.747</v>
      </c>
      <c r="I371" s="13">
        <f>IFERROR((VLOOKUP(B371, Roccia!$B$2:$D997, 3, FALSE) /(1-Datos!$E$1)), "Revisar")</f>
        <v>244.2857143</v>
      </c>
      <c r="J371" s="13">
        <f>IFERROR(I371*Datos!$B$3, "Revisar")</f>
        <v>366.4285714</v>
      </c>
      <c r="K371" s="13">
        <f t="shared" si="3"/>
        <v>32.97857143</v>
      </c>
    </row>
    <row r="372">
      <c r="A372" s="8" t="s">
        <v>754</v>
      </c>
      <c r="B372" s="9" t="s">
        <v>771</v>
      </c>
      <c r="C372" s="10" t="s">
        <v>772</v>
      </c>
      <c r="D372" s="11">
        <f t="shared" ref="D372:E372" si="372">IF(MOD(F372, 5) &lt;= 2.5, FLOOR(F372, 5), CEILING(F372, 5))</f>
        <v>220</v>
      </c>
      <c r="E372" s="11">
        <f t="shared" si="372"/>
        <v>335</v>
      </c>
      <c r="F372" s="11">
        <f>IFERROR((VLOOKUP(B372, Roccia!$B$2:$D997, 3, FALSE)*(1+Datos!$E$1)), "Revisar")</f>
        <v>222.3</v>
      </c>
      <c r="G372" s="11">
        <f>IFERROR(F372*Datos!$B$3, "Revisar")</f>
        <v>333.45</v>
      </c>
      <c r="H372" s="12">
        <f>IFERROR(G372*Datos!$B$1, "Revisar")</f>
        <v>192582.747</v>
      </c>
      <c r="I372" s="13">
        <f>IFERROR((VLOOKUP(B372, Roccia!$B$2:$D997, 3, FALSE) /(1-Datos!$E$1)), "Revisar")</f>
        <v>244.2857143</v>
      </c>
      <c r="J372" s="13">
        <f>IFERROR(I372*Datos!$B$3, "Revisar")</f>
        <v>366.4285714</v>
      </c>
      <c r="K372" s="13">
        <f t="shared" si="3"/>
        <v>32.97857143</v>
      </c>
    </row>
    <row r="373">
      <c r="A373" s="8" t="s">
        <v>754</v>
      </c>
      <c r="B373" s="9" t="s">
        <v>773</v>
      </c>
      <c r="C373" s="10" t="s">
        <v>774</v>
      </c>
      <c r="D373" s="11">
        <f t="shared" ref="D373:E373" si="373">IF(MOD(F373, 5) &lt;= 2.5, FLOOR(F373, 5), CEILING(F373, 5))</f>
        <v>170</v>
      </c>
      <c r="E373" s="11">
        <f t="shared" si="373"/>
        <v>255</v>
      </c>
      <c r="F373" s="11">
        <f>IFERROR((VLOOKUP(B373, Roccia!$B$2:$D997, 3, FALSE)*(1+Datos!$E$1)), "Revisar")</f>
        <v>170.521</v>
      </c>
      <c r="G373" s="11">
        <f>IFERROR(F373*Datos!$B$3, "Revisar")</f>
        <v>255.7815</v>
      </c>
      <c r="H373" s="12">
        <f>IFERROR(G373*Datos!$B$1, "Revisar")</f>
        <v>147725.6078</v>
      </c>
      <c r="I373" s="13">
        <f>IFERROR((VLOOKUP(B373, Roccia!$B$2:$D997, 3, FALSE) /(1-Datos!$E$1)), "Revisar")</f>
        <v>187.3857143</v>
      </c>
      <c r="J373" s="13">
        <f>IFERROR(I373*Datos!$B$3, "Revisar")</f>
        <v>281.0785714</v>
      </c>
      <c r="K373" s="13">
        <f t="shared" si="3"/>
        <v>25.29707143</v>
      </c>
    </row>
    <row r="374">
      <c r="A374" s="8" t="s">
        <v>754</v>
      </c>
      <c r="B374" s="9" t="s">
        <v>775</v>
      </c>
      <c r="C374" s="10" t="s">
        <v>776</v>
      </c>
      <c r="D374" s="11">
        <f t="shared" ref="D374:E374" si="374">IF(MOD(F374, 5) &lt;= 2.5, FLOOR(F374, 5), CEILING(F374, 5))</f>
        <v>170</v>
      </c>
      <c r="E374" s="11">
        <f t="shared" si="374"/>
        <v>255</v>
      </c>
      <c r="F374" s="11">
        <f>IFERROR((VLOOKUP(B374, Roccia!$B$2:$D997, 3, FALSE)*(1+Datos!$E$1)), "Revisar")</f>
        <v>170.521</v>
      </c>
      <c r="G374" s="11">
        <f>IFERROR(F374*Datos!$B$3, "Revisar")</f>
        <v>255.7815</v>
      </c>
      <c r="H374" s="12">
        <f>IFERROR(G374*Datos!$B$1, "Revisar")</f>
        <v>147725.6078</v>
      </c>
      <c r="I374" s="13">
        <f>IFERROR((VLOOKUP(B374, Roccia!$B$2:$D997, 3, FALSE) /(1-Datos!$E$1)), "Revisar")</f>
        <v>187.3857143</v>
      </c>
      <c r="J374" s="13">
        <f>IFERROR(I374*Datos!$B$3, "Revisar")</f>
        <v>281.0785714</v>
      </c>
      <c r="K374" s="13">
        <f t="shared" si="3"/>
        <v>25.29707143</v>
      </c>
    </row>
    <row r="375">
      <c r="A375" s="8" t="s">
        <v>777</v>
      </c>
      <c r="B375" s="9" t="s">
        <v>778</v>
      </c>
      <c r="C375" s="10" t="s">
        <v>779</v>
      </c>
      <c r="D375" s="11">
        <f t="shared" ref="D375:E375" si="375">IF(MOD(F375, 5) &lt;= 2.5, FLOOR(F375, 5), CEILING(F375, 5))</f>
        <v>30</v>
      </c>
      <c r="E375" s="11">
        <f t="shared" si="375"/>
        <v>45</v>
      </c>
      <c r="F375" s="11">
        <f>IFERROR((VLOOKUP(B375, Roccia!$B$2:$D997, 3, FALSE)*(1+Datos!$E$1)), "Revisar")</f>
        <v>31.486</v>
      </c>
      <c r="G375" s="11">
        <f>IFERROR(F375*Datos!$B$3, "Revisar")</f>
        <v>47.229</v>
      </c>
      <c r="H375" s="12">
        <f>IFERROR(G375*Datos!$B$1, "Revisar")</f>
        <v>27276.92476</v>
      </c>
      <c r="I375" s="13">
        <f>IFERROR((VLOOKUP(B375, Roccia!$B$2:$D997, 3, FALSE) /(1-Datos!$E$1)), "Revisar")</f>
        <v>34.6</v>
      </c>
      <c r="J375" s="13">
        <f>IFERROR(I375*Datos!$B$3, "Revisar")</f>
        <v>51.9</v>
      </c>
      <c r="K375" s="13">
        <f t="shared" si="3"/>
        <v>4.671</v>
      </c>
    </row>
    <row r="376">
      <c r="A376" s="8" t="s">
        <v>777</v>
      </c>
      <c r="B376" s="9" t="s">
        <v>780</v>
      </c>
      <c r="C376" s="10" t="s">
        <v>781</v>
      </c>
      <c r="D376" s="11">
        <f t="shared" ref="D376:E376" si="376">IF(MOD(F376, 5) &lt;= 2.5, FLOOR(F376, 5), CEILING(F376, 5))</f>
        <v>25</v>
      </c>
      <c r="E376" s="11">
        <f t="shared" si="376"/>
        <v>35</v>
      </c>
      <c r="F376" s="11">
        <f>IFERROR((VLOOKUP(B376, Roccia!$B$2:$D997, 3, FALSE)*(1+Datos!$E$1)), "Revisar")</f>
        <v>23.4</v>
      </c>
      <c r="G376" s="11">
        <f>IFERROR(F376*Datos!$B$3, "Revisar")</f>
        <v>35.1</v>
      </c>
      <c r="H376" s="12">
        <f>IFERROR(G376*Datos!$B$1, "Revisar")</f>
        <v>20271.86811</v>
      </c>
      <c r="I376" s="13">
        <f>IFERROR((VLOOKUP(B376, Roccia!$B$2:$D997, 3, FALSE) /(1-Datos!$E$1)), "Revisar")</f>
        <v>25.71428571</v>
      </c>
      <c r="J376" s="13">
        <f>IFERROR(I376*Datos!$B$3, "Revisar")</f>
        <v>38.57142857</v>
      </c>
      <c r="K376" s="13">
        <f t="shared" si="3"/>
        <v>3.471428571</v>
      </c>
    </row>
    <row r="377">
      <c r="A377" s="8" t="s">
        <v>777</v>
      </c>
      <c r="B377" s="9" t="s">
        <v>780</v>
      </c>
      <c r="C377" s="10" t="s">
        <v>782</v>
      </c>
      <c r="D377" s="11">
        <f t="shared" ref="D377:E377" si="377">IF(MOD(F377, 5) &lt;= 2.5, FLOOR(F377, 5), CEILING(F377, 5))</f>
        <v>25</v>
      </c>
      <c r="E377" s="11">
        <f t="shared" si="377"/>
        <v>35</v>
      </c>
      <c r="F377" s="11">
        <f>IFERROR((VLOOKUP(B377, Roccia!$B$2:$D997, 3, FALSE)*(1+Datos!$E$1)), "Revisar")</f>
        <v>23.4</v>
      </c>
      <c r="G377" s="11">
        <f>IFERROR(F377*Datos!$B$3, "Revisar")</f>
        <v>35.1</v>
      </c>
      <c r="H377" s="12">
        <f>IFERROR(G377*Datos!$B$1, "Revisar")</f>
        <v>20271.86811</v>
      </c>
      <c r="I377" s="13">
        <f>IFERROR((VLOOKUP(B377, Roccia!$B$2:$D997, 3, FALSE) /(1-Datos!$E$1)), "Revisar")</f>
        <v>25.71428571</v>
      </c>
      <c r="J377" s="13">
        <f>IFERROR(I377*Datos!$B$3, "Revisar")</f>
        <v>38.57142857</v>
      </c>
      <c r="K377" s="13">
        <f t="shared" si="3"/>
        <v>3.471428571</v>
      </c>
    </row>
    <row r="378">
      <c r="A378" s="8" t="s">
        <v>777</v>
      </c>
      <c r="B378" s="9" t="s">
        <v>783</v>
      </c>
      <c r="C378" s="10" t="s">
        <v>784</v>
      </c>
      <c r="D378" s="11">
        <f t="shared" ref="D378:E378" si="378">IF(MOD(F378, 5) &lt;= 2.5, FLOOR(F378, 5), CEILING(F378, 5))</f>
        <v>75</v>
      </c>
      <c r="E378" s="11">
        <f t="shared" si="378"/>
        <v>110</v>
      </c>
      <c r="F378" s="11">
        <f>IFERROR((VLOOKUP(B378, Roccia!$B$2:$D997, 3, FALSE)*(1+Datos!$E$1)), "Revisar")</f>
        <v>74.1</v>
      </c>
      <c r="G378" s="11">
        <f>IFERROR(F378*Datos!$B$3, "Revisar")</f>
        <v>111.15</v>
      </c>
      <c r="H378" s="12">
        <f>IFERROR(G378*Datos!$B$1, "Revisar")</f>
        <v>64194.24902</v>
      </c>
      <c r="I378" s="13">
        <f>IFERROR((VLOOKUP(B378, Roccia!$B$2:$D997, 3, FALSE) /(1-Datos!$E$1)), "Revisar")</f>
        <v>81.42857143</v>
      </c>
      <c r="J378" s="13">
        <f>IFERROR(I378*Datos!$B$3, "Revisar")</f>
        <v>122.1428571</v>
      </c>
      <c r="K378" s="13">
        <f t="shared" si="3"/>
        <v>10.99285714</v>
      </c>
    </row>
    <row r="379">
      <c r="A379" s="8" t="s">
        <v>777</v>
      </c>
      <c r="B379" s="9" t="s">
        <v>785</v>
      </c>
      <c r="C379" s="10" t="s">
        <v>786</v>
      </c>
      <c r="D379" s="11">
        <f t="shared" ref="D379:E379" si="379">IF(MOD(F379, 5) &lt;= 2.5, FLOOR(F379, 5), CEILING(F379, 5))</f>
        <v>75</v>
      </c>
      <c r="E379" s="11">
        <f t="shared" si="379"/>
        <v>110</v>
      </c>
      <c r="F379" s="11">
        <f>IFERROR((VLOOKUP(B379, Roccia!$B$2:$D997, 3, FALSE)*(1+Datos!$E$1)), "Revisar")</f>
        <v>74.1</v>
      </c>
      <c r="G379" s="11">
        <f>IFERROR(F379*Datos!$B$3, "Revisar")</f>
        <v>111.15</v>
      </c>
      <c r="H379" s="12">
        <f>IFERROR(G379*Datos!$B$1, "Revisar")</f>
        <v>64194.24902</v>
      </c>
      <c r="I379" s="13">
        <f>IFERROR((VLOOKUP(B379, Roccia!$B$2:$D997, 3, FALSE) /(1-Datos!$E$1)), "Revisar")</f>
        <v>81.42857143</v>
      </c>
      <c r="J379" s="13">
        <f>IFERROR(I379*Datos!$B$3, "Revisar")</f>
        <v>122.1428571</v>
      </c>
      <c r="K379" s="13">
        <f t="shared" si="3"/>
        <v>10.99285714</v>
      </c>
    </row>
    <row r="380">
      <c r="A380" s="8" t="s">
        <v>777</v>
      </c>
      <c r="B380" s="9" t="s">
        <v>787</v>
      </c>
      <c r="C380" s="10" t="s">
        <v>788</v>
      </c>
      <c r="D380" s="11">
        <f t="shared" ref="D380:E380" si="380">IF(MOD(F380, 5) &lt;= 2.5, FLOOR(F380, 5), CEILING(F380, 5))</f>
        <v>85</v>
      </c>
      <c r="E380" s="11">
        <f t="shared" si="380"/>
        <v>125</v>
      </c>
      <c r="F380" s="11">
        <f>IFERROR((VLOOKUP(B380, Roccia!$B$2:$D997, 3, FALSE)*(1+Datos!$E$1)), "Revisar")</f>
        <v>84.5</v>
      </c>
      <c r="G380" s="11">
        <f>IFERROR(F380*Datos!$B$3, "Revisar")</f>
        <v>126.75</v>
      </c>
      <c r="H380" s="12">
        <f>IFERROR(G380*Datos!$B$1, "Revisar")</f>
        <v>73203.96818</v>
      </c>
      <c r="I380" s="13">
        <f>IFERROR((VLOOKUP(B380, Roccia!$B$2:$D997, 3, FALSE) /(1-Datos!$E$1)), "Revisar")</f>
        <v>92.85714286</v>
      </c>
      <c r="J380" s="13">
        <f>IFERROR(I380*Datos!$B$3, "Revisar")</f>
        <v>139.2857143</v>
      </c>
      <c r="K380" s="13">
        <f t="shared" si="3"/>
        <v>12.53571429</v>
      </c>
    </row>
    <row r="381">
      <c r="A381" s="8" t="s">
        <v>777</v>
      </c>
      <c r="B381" s="9" t="s">
        <v>789</v>
      </c>
      <c r="C381" s="10" t="s">
        <v>790</v>
      </c>
      <c r="D381" s="11">
        <f t="shared" ref="D381:E381" si="381">IF(MOD(F381, 5) &lt;= 2.5, FLOOR(F381, 5), CEILING(F381, 5))</f>
        <v>85</v>
      </c>
      <c r="E381" s="11">
        <f t="shared" si="381"/>
        <v>125</v>
      </c>
      <c r="F381" s="11">
        <f>IFERROR((VLOOKUP(B381, Roccia!$B$2:$D997, 3, FALSE)*(1+Datos!$E$1)), "Revisar")</f>
        <v>84.5</v>
      </c>
      <c r="G381" s="11">
        <f>IFERROR(F381*Datos!$B$3, "Revisar")</f>
        <v>126.75</v>
      </c>
      <c r="H381" s="12">
        <f>IFERROR(G381*Datos!$B$1, "Revisar")</f>
        <v>73203.96818</v>
      </c>
      <c r="I381" s="13">
        <f>IFERROR((VLOOKUP(B381, Roccia!$B$2:$D997, 3, FALSE) /(1-Datos!$E$1)), "Revisar")</f>
        <v>92.85714286</v>
      </c>
      <c r="J381" s="13">
        <f>IFERROR(I381*Datos!$B$3, "Revisar")</f>
        <v>139.2857143</v>
      </c>
      <c r="K381" s="13">
        <f t="shared" si="3"/>
        <v>12.53571429</v>
      </c>
    </row>
    <row r="382">
      <c r="A382" s="8" t="s">
        <v>777</v>
      </c>
      <c r="B382" s="9" t="s">
        <v>791</v>
      </c>
      <c r="C382" s="10" t="s">
        <v>792</v>
      </c>
      <c r="D382" s="11">
        <f t="shared" ref="D382:E382" si="382">IF(MOD(F382, 5) &lt;= 2.5, FLOOR(F382, 5), CEILING(F382, 5))</f>
        <v>15</v>
      </c>
      <c r="E382" s="11">
        <f t="shared" si="382"/>
        <v>25</v>
      </c>
      <c r="F382" s="11">
        <f>IFERROR((VLOOKUP(B382, Roccia!$B$2:$D997, 3, FALSE)*(1+Datos!$E$1)), "Revisar")</f>
        <v>15.6</v>
      </c>
      <c r="G382" s="11">
        <f>IFERROR(F382*Datos!$B$3, "Revisar")</f>
        <v>23.4</v>
      </c>
      <c r="H382" s="12">
        <f>IFERROR(G382*Datos!$B$1, "Revisar")</f>
        <v>13514.57874</v>
      </c>
      <c r="I382" s="13">
        <f>IFERROR((VLOOKUP(B382, Roccia!$B$2:$D997, 3, FALSE) /(1-Datos!$E$1)), "Revisar")</f>
        <v>17.14285714</v>
      </c>
      <c r="J382" s="13">
        <f>IFERROR(I382*Datos!$B$3, "Revisar")</f>
        <v>25.71428571</v>
      </c>
      <c r="K382" s="13">
        <f t="shared" si="3"/>
        <v>2.314285714</v>
      </c>
    </row>
    <row r="383">
      <c r="A383" s="8" t="s">
        <v>777</v>
      </c>
      <c r="B383" s="9" t="s">
        <v>793</v>
      </c>
      <c r="C383" s="10" t="s">
        <v>794</v>
      </c>
      <c r="D383" s="11">
        <f t="shared" ref="D383:E383" si="383">IF(MOD(F383, 5) &lt;= 2.5, FLOOR(F383, 5), CEILING(F383, 5))</f>
        <v>100</v>
      </c>
      <c r="E383" s="11">
        <f t="shared" si="383"/>
        <v>150</v>
      </c>
      <c r="F383" s="11">
        <f>IFERROR((VLOOKUP(B383, Roccia!$B$2:$D997, 3, FALSE)*(1+Datos!$E$1)), "Revisar")</f>
        <v>98.8</v>
      </c>
      <c r="G383" s="11">
        <f>IFERROR(F383*Datos!$B$3, "Revisar")</f>
        <v>148.2</v>
      </c>
      <c r="H383" s="12">
        <f>IFERROR(G383*Datos!$B$1, "Revisar")</f>
        <v>85592.33202</v>
      </c>
      <c r="I383" s="13">
        <f>IFERROR((VLOOKUP(B383, Roccia!$B$2:$D997, 3, FALSE) /(1-Datos!$E$1)), "Revisar")</f>
        <v>108.5714286</v>
      </c>
      <c r="J383" s="13">
        <f>IFERROR(I383*Datos!$B$3, "Revisar")</f>
        <v>162.8571429</v>
      </c>
      <c r="K383" s="13">
        <f t="shared" si="3"/>
        <v>14.65714286</v>
      </c>
    </row>
    <row r="384">
      <c r="A384" s="8" t="s">
        <v>777</v>
      </c>
      <c r="B384" s="9" t="s">
        <v>795</v>
      </c>
      <c r="C384" s="10" t="s">
        <v>796</v>
      </c>
      <c r="D384" s="11">
        <f t="shared" ref="D384:E384" si="384">IF(MOD(F384, 5) &lt;= 2.5, FLOOR(F384, 5), CEILING(F384, 5))</f>
        <v>80</v>
      </c>
      <c r="E384" s="11">
        <f t="shared" si="384"/>
        <v>120</v>
      </c>
      <c r="F384" s="11">
        <f>IFERROR((VLOOKUP(B384, Roccia!$B$2:$D997, 3, FALSE)*(1+Datos!$E$1)), "Revisar")</f>
        <v>79.3</v>
      </c>
      <c r="G384" s="11">
        <f>IFERROR(F384*Datos!$B$3, "Revisar")</f>
        <v>118.95</v>
      </c>
      <c r="H384" s="12">
        <f>IFERROR(G384*Datos!$B$1, "Revisar")</f>
        <v>68699.1086</v>
      </c>
      <c r="I384" s="13">
        <f>IFERROR((VLOOKUP(B384, Roccia!$B$2:$D997, 3, FALSE) /(1-Datos!$E$1)), "Revisar")</f>
        <v>87.14285714</v>
      </c>
      <c r="J384" s="13">
        <f>IFERROR(I384*Datos!$B$3, "Revisar")</f>
        <v>130.7142857</v>
      </c>
      <c r="K384" s="13">
        <f t="shared" si="3"/>
        <v>11.76428571</v>
      </c>
    </row>
    <row r="385">
      <c r="A385" s="8" t="s">
        <v>777</v>
      </c>
      <c r="B385" s="9" t="s">
        <v>797</v>
      </c>
      <c r="C385" s="10" t="s">
        <v>798</v>
      </c>
      <c r="D385" s="11">
        <f t="shared" ref="D385:E385" si="385">IF(MOD(F385, 5) &lt;= 2.5, FLOOR(F385, 5), CEILING(F385, 5))</f>
        <v>110</v>
      </c>
      <c r="E385" s="11">
        <f t="shared" si="385"/>
        <v>170</v>
      </c>
      <c r="F385" s="11">
        <f>IFERROR((VLOOKUP(B385, Roccia!$B$2:$D997, 3, FALSE)*(1+Datos!$E$1)), "Revisar")</f>
        <v>111.8</v>
      </c>
      <c r="G385" s="11">
        <f>IFERROR(F385*Datos!$B$3, "Revisar")</f>
        <v>167.7</v>
      </c>
      <c r="H385" s="12">
        <f>IFERROR(G385*Datos!$B$1, "Revisar")</f>
        <v>96854.48097</v>
      </c>
      <c r="I385" s="13">
        <f>IFERROR((VLOOKUP(B385, Roccia!$B$2:$D997, 3, FALSE) /(1-Datos!$E$1)), "Revisar")</f>
        <v>122.8571429</v>
      </c>
      <c r="J385" s="13">
        <f>IFERROR(I385*Datos!$B$3, "Revisar")</f>
        <v>184.2857143</v>
      </c>
      <c r="K385" s="13">
        <f t="shared" si="3"/>
        <v>16.58571429</v>
      </c>
    </row>
    <row r="386">
      <c r="A386" s="8" t="s">
        <v>777</v>
      </c>
      <c r="B386" s="9" t="s">
        <v>799</v>
      </c>
      <c r="C386" s="10" t="s">
        <v>800</v>
      </c>
      <c r="D386" s="11">
        <f t="shared" ref="D386:E386" si="386">IF(MOD(F386, 5) &lt;= 2.5, FLOOR(F386, 5), CEILING(F386, 5))</f>
        <v>95</v>
      </c>
      <c r="E386" s="11">
        <f t="shared" si="386"/>
        <v>140</v>
      </c>
      <c r="F386" s="11">
        <f>IFERROR((VLOOKUP(B386, Roccia!$B$2:$D997, 3, FALSE)*(1+Datos!$E$1)), "Revisar")</f>
        <v>93.6</v>
      </c>
      <c r="G386" s="11">
        <f>IFERROR(F386*Datos!$B$3, "Revisar")</f>
        <v>140.4</v>
      </c>
      <c r="H386" s="12">
        <f>IFERROR(G386*Datos!$B$1, "Revisar")</f>
        <v>81087.47244</v>
      </c>
      <c r="I386" s="13">
        <f>IFERROR((VLOOKUP(B386, Roccia!$B$2:$D997, 3, FALSE) /(1-Datos!$E$1)), "Revisar")</f>
        <v>102.8571429</v>
      </c>
      <c r="J386" s="13">
        <f>IFERROR(I386*Datos!$B$3, "Revisar")</f>
        <v>154.2857143</v>
      </c>
      <c r="K386" s="13">
        <f t="shared" si="3"/>
        <v>13.88571429</v>
      </c>
    </row>
    <row r="387">
      <c r="A387" s="8" t="s">
        <v>777</v>
      </c>
      <c r="B387" s="9" t="s">
        <v>801</v>
      </c>
      <c r="C387" s="10" t="s">
        <v>802</v>
      </c>
      <c r="D387" s="11">
        <f t="shared" ref="D387:E387" si="387">IF(MOD(F387, 5) &lt;= 2.5, FLOOR(F387, 5), CEILING(F387, 5))</f>
        <v>45</v>
      </c>
      <c r="E387" s="11">
        <f t="shared" si="387"/>
        <v>70</v>
      </c>
      <c r="F387" s="11">
        <f>IFERROR((VLOOKUP(B387, Roccia!$B$2:$D997, 3, FALSE)*(1+Datos!$E$1)), "Revisar")</f>
        <v>45.5</v>
      </c>
      <c r="G387" s="11">
        <f>IFERROR(F387*Datos!$B$3, "Revisar")</f>
        <v>68.25</v>
      </c>
      <c r="H387" s="12">
        <f>IFERROR(G387*Datos!$B$1, "Revisar")</f>
        <v>39417.52133</v>
      </c>
      <c r="I387" s="13">
        <f>IFERROR((VLOOKUP(B387, Roccia!$B$2:$D997, 3, FALSE) /(1-Datos!$E$1)), "Revisar")</f>
        <v>50</v>
      </c>
      <c r="J387" s="13">
        <f>IFERROR(I387*Datos!$B$3, "Revisar")</f>
        <v>75</v>
      </c>
      <c r="K387" s="13">
        <f t="shared" si="3"/>
        <v>6.75</v>
      </c>
    </row>
    <row r="388">
      <c r="A388" s="8" t="s">
        <v>777</v>
      </c>
      <c r="B388" s="9" t="s">
        <v>803</v>
      </c>
      <c r="C388" s="10" t="s">
        <v>804</v>
      </c>
      <c r="D388" s="11">
        <f t="shared" ref="D388:E388" si="388">IF(MOD(F388, 5) &lt;= 2.5, FLOOR(F388, 5), CEILING(F388, 5))</f>
        <v>205</v>
      </c>
      <c r="E388" s="11">
        <f t="shared" si="388"/>
        <v>305</v>
      </c>
      <c r="F388" s="11">
        <f>IFERROR((VLOOKUP(B388, Roccia!$B$2:$D997, 3, FALSE)*(1+Datos!$E$1)), "Revisar")</f>
        <v>203.684</v>
      </c>
      <c r="G388" s="11">
        <f>IFERROR(F388*Datos!$B$3, "Revisar")</f>
        <v>305.526</v>
      </c>
      <c r="H388" s="12">
        <f>IFERROR(G388*Datos!$B$1, "Revisar")</f>
        <v>176455.3497</v>
      </c>
      <c r="I388" s="13">
        <f>IFERROR((VLOOKUP(B388, Roccia!$B$2:$D997, 3, FALSE) /(1-Datos!$E$1)), "Revisar")</f>
        <v>223.8285714</v>
      </c>
      <c r="J388" s="13">
        <f>IFERROR(I388*Datos!$B$3, "Revisar")</f>
        <v>335.7428571</v>
      </c>
      <c r="K388" s="13">
        <f t="shared" si="3"/>
        <v>30.21685714</v>
      </c>
    </row>
    <row r="389">
      <c r="A389" s="8" t="s">
        <v>777</v>
      </c>
      <c r="B389" s="9" t="s">
        <v>805</v>
      </c>
      <c r="C389" s="10" t="s">
        <v>806</v>
      </c>
      <c r="D389" s="11">
        <f t="shared" ref="D389:E389" si="389">IF(MOD(F389, 5) &lt;= 2.5, FLOOR(F389, 5), CEILING(F389, 5))</f>
        <v>205</v>
      </c>
      <c r="E389" s="11">
        <f t="shared" si="389"/>
        <v>305</v>
      </c>
      <c r="F389" s="11">
        <f>IFERROR((VLOOKUP(B389, Roccia!$B$2:$D997, 3, FALSE)*(1+Datos!$E$1)), "Revisar")</f>
        <v>203.684</v>
      </c>
      <c r="G389" s="11">
        <f>IFERROR(F389*Datos!$B$3, "Revisar")</f>
        <v>305.526</v>
      </c>
      <c r="H389" s="12">
        <f>IFERROR(G389*Datos!$B$1, "Revisar")</f>
        <v>176455.3497</v>
      </c>
      <c r="I389" s="13">
        <f>IFERROR((VLOOKUP(B389, Roccia!$B$2:$D997, 3, FALSE) /(1-Datos!$E$1)), "Revisar")</f>
        <v>223.8285714</v>
      </c>
      <c r="J389" s="13">
        <f>IFERROR(I389*Datos!$B$3, "Revisar")</f>
        <v>335.7428571</v>
      </c>
      <c r="K389" s="13">
        <f t="shared" si="3"/>
        <v>30.21685714</v>
      </c>
    </row>
    <row r="390">
      <c r="A390" s="8" t="s">
        <v>777</v>
      </c>
      <c r="B390" s="9" t="s">
        <v>807</v>
      </c>
      <c r="C390" s="10" t="s">
        <v>808</v>
      </c>
      <c r="D390" s="11">
        <f t="shared" ref="D390:E390" si="390">IF(MOD(F390, 5) &lt;= 2.5, FLOOR(F390, 5), CEILING(F390, 5))</f>
        <v>75</v>
      </c>
      <c r="E390" s="11">
        <f t="shared" si="390"/>
        <v>115</v>
      </c>
      <c r="F390" s="11">
        <f>IFERROR((VLOOKUP(B390, Roccia!$B$2:$D997, 3, FALSE)*(1+Datos!$E$1)), "Revisar")</f>
        <v>76.726</v>
      </c>
      <c r="G390" s="11">
        <f>IFERROR(F390*Datos!$B$3, "Revisar")</f>
        <v>115.089</v>
      </c>
      <c r="H390" s="12">
        <f>IFERROR(G390*Datos!$B$1, "Revisar")</f>
        <v>66469.2031</v>
      </c>
      <c r="I390" s="13">
        <f>IFERROR((VLOOKUP(B390, Roccia!$B$2:$D997, 3, FALSE) /(1-Datos!$E$1)), "Revisar")</f>
        <v>84.31428571</v>
      </c>
      <c r="J390" s="13">
        <f>IFERROR(I390*Datos!$B$3, "Revisar")</f>
        <v>126.4714286</v>
      </c>
      <c r="K390" s="13">
        <f t="shared" si="3"/>
        <v>11.38242857</v>
      </c>
    </row>
    <row r="391">
      <c r="A391" s="8" t="s">
        <v>777</v>
      </c>
      <c r="B391" s="9" t="s">
        <v>809</v>
      </c>
      <c r="C391" s="10" t="s">
        <v>810</v>
      </c>
      <c r="D391" s="11">
        <f t="shared" ref="D391:E391" si="391">IF(MOD(F391, 5) &lt;= 2.5, FLOOR(F391, 5), CEILING(F391, 5))</f>
        <v>40</v>
      </c>
      <c r="E391" s="11">
        <f t="shared" si="391"/>
        <v>60</v>
      </c>
      <c r="F391" s="11">
        <f>IFERROR((VLOOKUP(B391, Roccia!$B$2:$D997, 3, FALSE)*(1+Datos!$E$1)), "Revisar")</f>
        <v>39</v>
      </c>
      <c r="G391" s="11">
        <f>IFERROR(F391*Datos!$B$3, "Revisar")</f>
        <v>58.5</v>
      </c>
      <c r="H391" s="12">
        <f>IFERROR(G391*Datos!$B$1, "Revisar")</f>
        <v>33786.44685</v>
      </c>
      <c r="I391" s="13">
        <f>IFERROR((VLOOKUP(B391, Roccia!$B$2:$D997, 3, FALSE) /(1-Datos!$E$1)), "Revisar")</f>
        <v>42.85714286</v>
      </c>
      <c r="J391" s="13">
        <f>IFERROR(I391*Datos!$B$3, "Revisar")</f>
        <v>64.28571429</v>
      </c>
      <c r="K391" s="13">
        <f t="shared" si="3"/>
        <v>5.785714286</v>
      </c>
    </row>
    <row r="392">
      <c r="A392" s="8" t="s">
        <v>777</v>
      </c>
      <c r="B392" s="9" t="s">
        <v>811</v>
      </c>
      <c r="C392" s="10" t="s">
        <v>812</v>
      </c>
      <c r="D392" s="11">
        <f t="shared" ref="D392:E392" si="392">IF(MOD(F392, 5) &lt;= 2.5, FLOOR(F392, 5), CEILING(F392, 5))</f>
        <v>35</v>
      </c>
      <c r="E392" s="11">
        <f t="shared" si="392"/>
        <v>55</v>
      </c>
      <c r="F392" s="11">
        <f>IFERROR((VLOOKUP(B392, Roccia!$B$2:$D997, 3, FALSE)*(1+Datos!$E$1)), "Revisar")</f>
        <v>36.4</v>
      </c>
      <c r="G392" s="11">
        <f>IFERROR(F392*Datos!$B$3, "Revisar")</f>
        <v>54.6</v>
      </c>
      <c r="H392" s="12">
        <f>IFERROR(G392*Datos!$B$1, "Revisar")</f>
        <v>31534.01706</v>
      </c>
      <c r="I392" s="13">
        <f>IFERROR((VLOOKUP(B392, Roccia!$B$2:$D997, 3, FALSE) /(1-Datos!$E$1)), "Revisar")</f>
        <v>40</v>
      </c>
      <c r="J392" s="13">
        <f>IFERROR(I392*Datos!$B$3, "Revisar")</f>
        <v>60</v>
      </c>
      <c r="K392" s="13">
        <f t="shared" si="3"/>
        <v>5.4</v>
      </c>
    </row>
    <row r="393">
      <c r="A393" s="8" t="s">
        <v>777</v>
      </c>
      <c r="B393" s="9" t="s">
        <v>813</v>
      </c>
      <c r="C393" s="10" t="s">
        <v>814</v>
      </c>
      <c r="D393" s="11">
        <f t="shared" ref="D393:E393" si="393">IF(MOD(F393, 5) &lt;= 2.5, FLOOR(F393, 5), CEILING(F393, 5))</f>
        <v>170</v>
      </c>
      <c r="E393" s="11">
        <f t="shared" si="393"/>
        <v>250</v>
      </c>
      <c r="F393" s="11">
        <f>IFERROR((VLOOKUP(B393, Roccia!$B$2:$D997, 3, FALSE)*(1+Datos!$E$1)), "Revisar")</f>
        <v>167.908</v>
      </c>
      <c r="G393" s="11">
        <f>IFERROR(F393*Datos!$B$3, "Revisar")</f>
        <v>251.862</v>
      </c>
      <c r="H393" s="12">
        <f>IFERROR(G393*Datos!$B$1, "Revisar")</f>
        <v>145461.9158</v>
      </c>
      <c r="I393" s="13">
        <f>IFERROR((VLOOKUP(B393, Roccia!$B$2:$D997, 3, FALSE) /(1-Datos!$E$1)), "Revisar")</f>
        <v>184.5142857</v>
      </c>
      <c r="J393" s="13">
        <f>IFERROR(I393*Datos!$B$3, "Revisar")</f>
        <v>276.7714286</v>
      </c>
      <c r="K393" s="13">
        <f t="shared" si="3"/>
        <v>24.90942857</v>
      </c>
    </row>
    <row r="394">
      <c r="A394" s="8" t="s">
        <v>777</v>
      </c>
      <c r="B394" s="9" t="s">
        <v>815</v>
      </c>
      <c r="C394" s="10" t="s">
        <v>816</v>
      </c>
      <c r="D394" s="11">
        <f t="shared" ref="D394:E394" si="394">IF(MOD(F394, 5) &lt;= 2.5, FLOOR(F394, 5), CEILING(F394, 5))</f>
        <v>80</v>
      </c>
      <c r="E394" s="11">
        <f t="shared" si="394"/>
        <v>120</v>
      </c>
      <c r="F394" s="11">
        <f>IFERROR((VLOOKUP(B394, Roccia!$B$2:$D997, 3, FALSE)*(1+Datos!$E$1)), "Revisar")</f>
        <v>80.6</v>
      </c>
      <c r="G394" s="11">
        <f>IFERROR(F394*Datos!$B$3, "Revisar")</f>
        <v>120.9</v>
      </c>
      <c r="H394" s="12">
        <f>IFERROR(G394*Datos!$B$1, "Revisar")</f>
        <v>69825.32349</v>
      </c>
      <c r="I394" s="13">
        <f>IFERROR((VLOOKUP(B394, Roccia!$B$2:$D997, 3, FALSE) /(1-Datos!$E$1)), "Revisar")</f>
        <v>88.57142857</v>
      </c>
      <c r="J394" s="13">
        <f>IFERROR(I394*Datos!$B$3, "Revisar")</f>
        <v>132.8571429</v>
      </c>
      <c r="K394" s="13">
        <f t="shared" si="3"/>
        <v>11.95714286</v>
      </c>
    </row>
    <row r="395">
      <c r="A395" s="8" t="s">
        <v>777</v>
      </c>
      <c r="B395" s="9" t="s">
        <v>817</v>
      </c>
      <c r="C395" s="10" t="s">
        <v>818</v>
      </c>
      <c r="D395" s="11">
        <f t="shared" ref="D395:E395" si="395">IF(MOD(F395, 5) &lt;= 2.5, FLOOR(F395, 5), CEILING(F395, 5))</f>
        <v>200</v>
      </c>
      <c r="E395" s="11">
        <f t="shared" si="395"/>
        <v>305</v>
      </c>
      <c r="F395" s="11">
        <f>IFERROR((VLOOKUP(B395, Roccia!$B$2:$D997, 3, FALSE)*(1+Datos!$E$1)), "Revisar")</f>
        <v>201.734</v>
      </c>
      <c r="G395" s="11">
        <f>IFERROR(F395*Datos!$B$3, "Revisar")</f>
        <v>302.601</v>
      </c>
      <c r="H395" s="12">
        <f>IFERROR(G395*Datos!$B$1, "Revisar")</f>
        <v>174766.0274</v>
      </c>
      <c r="I395" s="13">
        <f>IFERROR((VLOOKUP(B395, Roccia!$B$2:$D997, 3, FALSE) /(1-Datos!$E$1)), "Revisar")</f>
        <v>221.6857143</v>
      </c>
      <c r="J395" s="13">
        <f>IFERROR(I395*Datos!$B$3, "Revisar")</f>
        <v>332.5285714</v>
      </c>
      <c r="K395" s="13">
        <f t="shared" si="3"/>
        <v>29.92757143</v>
      </c>
    </row>
    <row r="396">
      <c r="A396" s="8" t="s">
        <v>777</v>
      </c>
      <c r="B396" s="9" t="s">
        <v>819</v>
      </c>
      <c r="C396" s="10" t="s">
        <v>820</v>
      </c>
      <c r="D396" s="11">
        <f t="shared" ref="D396:E396" si="396">IF(MOD(F396, 5) &lt;= 2.5, FLOOR(F396, 5), CEILING(F396, 5))</f>
        <v>360</v>
      </c>
      <c r="E396" s="11">
        <f t="shared" si="396"/>
        <v>540</v>
      </c>
      <c r="F396" s="11">
        <f>IFERROR((VLOOKUP(B396, Roccia!$B$2:$D997, 3, FALSE)*(1+Datos!$E$1)), "Revisar")</f>
        <v>359.671</v>
      </c>
      <c r="G396" s="11">
        <f>IFERROR(F396*Datos!$B$3, "Revisar")</f>
        <v>539.5065</v>
      </c>
      <c r="H396" s="12">
        <f>IFERROR(G396*Datos!$B$1, "Revisar")</f>
        <v>311589.875</v>
      </c>
      <c r="I396" s="13">
        <f>IFERROR((VLOOKUP(B396, Roccia!$B$2:$D997, 3, FALSE) /(1-Datos!$E$1)), "Revisar")</f>
        <v>395.2428571</v>
      </c>
      <c r="J396" s="13">
        <f>IFERROR(I396*Datos!$B$3, "Revisar")</f>
        <v>592.8642857</v>
      </c>
      <c r="K396" s="13">
        <f t="shared" si="3"/>
        <v>53.35778571</v>
      </c>
    </row>
    <row r="397">
      <c r="A397" s="8" t="s">
        <v>777</v>
      </c>
      <c r="B397" s="9" t="s">
        <v>821</v>
      </c>
      <c r="C397" s="10" t="s">
        <v>822</v>
      </c>
      <c r="D397" s="11">
        <f t="shared" ref="D397:E397" si="397">IF(MOD(F397, 5) &lt;= 2.5, FLOOR(F397, 5), CEILING(F397, 5))</f>
        <v>30</v>
      </c>
      <c r="E397" s="11">
        <f t="shared" si="397"/>
        <v>45</v>
      </c>
      <c r="F397" s="11">
        <f>IFERROR((VLOOKUP(B397, Roccia!$B$2:$D997, 3, FALSE)*(1+Datos!$E$1)), "Revisar")</f>
        <v>30.693</v>
      </c>
      <c r="G397" s="11">
        <f>IFERROR(F397*Datos!$B$3, "Revisar")</f>
        <v>46.0395</v>
      </c>
      <c r="H397" s="12">
        <f>IFERROR(G397*Datos!$B$1, "Revisar")</f>
        <v>26589.93367</v>
      </c>
      <c r="I397" s="13">
        <f>IFERROR((VLOOKUP(B397, Roccia!$B$2:$D997, 3, FALSE) /(1-Datos!$E$1)), "Revisar")</f>
        <v>33.72857143</v>
      </c>
      <c r="J397" s="13">
        <f>IFERROR(I397*Datos!$B$3, "Revisar")</f>
        <v>50.59285714</v>
      </c>
      <c r="K397" s="13">
        <f t="shared" si="3"/>
        <v>4.553357143</v>
      </c>
    </row>
    <row r="398">
      <c r="A398" s="8"/>
      <c r="B398" s="9"/>
      <c r="C398" s="10"/>
      <c r="D398" s="11"/>
      <c r="E398" s="11"/>
      <c r="F398" s="11" t="str">
        <f>IFERROR((VLOOKUP(B398, Roccia!$B$2:$D997, 3, FALSE)*(1+Datos!$E$1)), "Revisar")</f>
        <v>Revisar</v>
      </c>
      <c r="G398" s="11" t="str">
        <f>IFERROR(F398*Datos!$B$3, "Revisar")</f>
        <v>Revisar</v>
      </c>
      <c r="H398" s="12" t="str">
        <f>IFERROR(G398*Datos!$B$1, "Revisar")</f>
        <v>Revisar</v>
      </c>
      <c r="I398" s="13" t="str">
        <f>IFERROR((VLOOKUP(B398, Roccia!$B$2:$D997, 3, FALSE) /(1-Datos!$E$1)), "Revisar")</f>
        <v>Revisar</v>
      </c>
      <c r="J398" s="13" t="str">
        <f>IFERROR(I398*Datos!$B$3, "Revisar")</f>
        <v>Revisar</v>
      </c>
      <c r="K398" s="13" t="str">
        <f t="shared" si="3"/>
        <v>Revisar</v>
      </c>
    </row>
    <row r="399">
      <c r="A399" s="8"/>
      <c r="B399" s="9"/>
      <c r="C399" s="10"/>
      <c r="D399" s="11"/>
      <c r="E399" s="11"/>
      <c r="F399" s="11" t="str">
        <f>IFERROR((VLOOKUP(B399, Roccia!$B$2:$D997, 3, FALSE)*(1+Datos!$E$1)), "Revisar")</f>
        <v>Revisar</v>
      </c>
      <c r="G399" s="11" t="str">
        <f>IFERROR(F399*Datos!$B$3, "Revisar")</f>
        <v>Revisar</v>
      </c>
      <c r="H399" s="12" t="str">
        <f>IFERROR(G399*Datos!$B$1, "Revisar")</f>
        <v>Revisar</v>
      </c>
      <c r="I399" s="13" t="str">
        <f>IFERROR((VLOOKUP(B399, Roccia!$B$2:$D997, 3, FALSE) /(1-Datos!$E$1)), "Revisar")</f>
        <v>Revisar</v>
      </c>
      <c r="J399" s="13" t="str">
        <f>IFERROR(I399*Datos!$B$3, "Revisar")</f>
        <v>Revisar</v>
      </c>
      <c r="K399" s="13" t="str">
        <f t="shared" si="3"/>
        <v>Revisar</v>
      </c>
    </row>
    <row r="400">
      <c r="A400" s="8"/>
      <c r="B400" s="9"/>
      <c r="C400" s="10"/>
      <c r="D400" s="11"/>
      <c r="E400" s="11"/>
      <c r="F400" s="11" t="str">
        <f>IFERROR((VLOOKUP(B400, Roccia!$B$2:$D997, 3, FALSE)*(1+Datos!$E$1)), "Revisar")</f>
        <v>Revisar</v>
      </c>
      <c r="G400" s="11" t="str">
        <f>IFERROR(F400*Datos!$B$3, "Revisar")</f>
        <v>Revisar</v>
      </c>
      <c r="H400" s="12" t="str">
        <f>IFERROR(G400*Datos!$B$1, "Revisar")</f>
        <v>Revisar</v>
      </c>
      <c r="I400" s="13" t="str">
        <f>IFERROR((VLOOKUP(B400, Roccia!$B$2:$D997, 3, FALSE) /(1-Datos!$E$1)), "Revisar")</f>
        <v>Revisar</v>
      </c>
      <c r="J400" s="13" t="str">
        <f>IFERROR(I400*Datos!$B$3, "Revisar")</f>
        <v>Revisar</v>
      </c>
      <c r="K400" s="13" t="str">
        <f t="shared" si="3"/>
        <v>Revisar</v>
      </c>
    </row>
    <row r="401">
      <c r="A401" s="8"/>
      <c r="B401" s="9"/>
      <c r="C401" s="10"/>
      <c r="D401" s="11"/>
      <c r="E401" s="11"/>
      <c r="F401" s="11" t="str">
        <f>IFERROR((VLOOKUP(B401, Roccia!$B$2:$D997, 3, FALSE)*(1+Datos!$E$1)), "Revisar")</f>
        <v>Revisar</v>
      </c>
      <c r="G401" s="11" t="str">
        <f>IFERROR(F401*Datos!$B$3, "Revisar")</f>
        <v>Revisar</v>
      </c>
      <c r="H401" s="12" t="str">
        <f>IFERROR(G401*Datos!$B$1, "Revisar")</f>
        <v>Revisar</v>
      </c>
      <c r="I401" s="13" t="str">
        <f>IFERROR((VLOOKUP(B401, Roccia!$B$2:$D997, 3, FALSE) /(1-Datos!$E$1)), "Revisar")</f>
        <v>Revisar</v>
      </c>
      <c r="J401" s="13" t="str">
        <f>IFERROR(I401*Datos!$B$3, "Revisar")</f>
        <v>Revisar</v>
      </c>
      <c r="K401" s="13" t="str">
        <f t="shared" si="3"/>
        <v>Revisar</v>
      </c>
    </row>
    <row r="402">
      <c r="A402" s="8"/>
      <c r="B402" s="9"/>
      <c r="C402" s="10"/>
      <c r="D402" s="11"/>
      <c r="E402" s="11"/>
      <c r="F402" s="11" t="str">
        <f>IFERROR((VLOOKUP(B402, Roccia!$B$2:$D997, 3, FALSE)*(1+Datos!$E$1)), "Revisar")</f>
        <v>Revisar</v>
      </c>
      <c r="G402" s="11" t="str">
        <f>IFERROR(F402*Datos!$B$3, "Revisar")</f>
        <v>Revisar</v>
      </c>
      <c r="H402" s="12" t="str">
        <f>IFERROR(G402*Datos!$B$1, "Revisar")</f>
        <v>Revisar</v>
      </c>
      <c r="I402" s="13" t="str">
        <f>IFERROR((VLOOKUP(B402, Roccia!$B$2:$D997, 3, FALSE) /(1-Datos!$E$1)), "Revisar")</f>
        <v>Revisar</v>
      </c>
      <c r="J402" s="13" t="str">
        <f>IFERROR(I402*Datos!$B$3, "Revisar")</f>
        <v>Revisar</v>
      </c>
      <c r="K402" s="13" t="str">
        <f t="shared" si="3"/>
        <v>Revisar</v>
      </c>
    </row>
    <row r="403">
      <c r="A403" s="8"/>
      <c r="B403" s="9"/>
      <c r="C403" s="10"/>
      <c r="D403" s="11"/>
      <c r="E403" s="11"/>
      <c r="F403" s="11" t="str">
        <f>IFERROR((VLOOKUP(B403, Roccia!$B$2:$D997, 3, FALSE)*(1+Datos!$E$1)), "Revisar")</f>
        <v>Revisar</v>
      </c>
      <c r="G403" s="11" t="str">
        <f>IFERROR(F403*Datos!$B$3, "Revisar")</f>
        <v>Revisar</v>
      </c>
      <c r="H403" s="12" t="str">
        <f>IFERROR(G403*Datos!$B$1, "Revisar")</f>
        <v>Revisar</v>
      </c>
      <c r="I403" s="13" t="str">
        <f>IFERROR((VLOOKUP(B403, Roccia!$B$2:$D997, 3, FALSE) /(1-Datos!$E$1)), "Revisar")</f>
        <v>Revisar</v>
      </c>
      <c r="J403" s="13" t="str">
        <f>IFERROR(I403*Datos!$B$3, "Revisar")</f>
        <v>Revisar</v>
      </c>
      <c r="K403" s="13" t="str">
        <f t="shared" si="3"/>
        <v>Revisar</v>
      </c>
    </row>
    <row r="404">
      <c r="A404" s="8"/>
      <c r="B404" s="9"/>
      <c r="C404" s="10"/>
      <c r="D404" s="11"/>
      <c r="E404" s="11"/>
      <c r="F404" s="11" t="str">
        <f>IFERROR((VLOOKUP(B404, Roccia!$B$2:$D997, 3, FALSE)*(1+Datos!$E$1)), "Revisar")</f>
        <v>Revisar</v>
      </c>
      <c r="G404" s="11" t="str">
        <f>IFERROR(F404*Datos!$B$3, "Revisar")</f>
        <v>Revisar</v>
      </c>
      <c r="H404" s="12" t="str">
        <f>IFERROR(G404*Datos!$B$1, "Revisar")</f>
        <v>Revisar</v>
      </c>
      <c r="I404" s="13" t="str">
        <f>IFERROR((VLOOKUP(B404, Roccia!$B$2:$D997, 3, FALSE) /(1-Datos!$E$1)), "Revisar")</f>
        <v>Revisar</v>
      </c>
      <c r="J404" s="13" t="str">
        <f>IFERROR(I404*Datos!$B$3, "Revisar")</f>
        <v>Revisar</v>
      </c>
      <c r="K404" s="13" t="str">
        <f t="shared" si="3"/>
        <v>Revisar</v>
      </c>
    </row>
    <row r="405">
      <c r="A405" s="8"/>
      <c r="B405" s="9"/>
      <c r="C405" s="10"/>
      <c r="D405" s="11"/>
      <c r="E405" s="11"/>
      <c r="F405" s="11" t="str">
        <f>IFERROR((VLOOKUP(B405, Roccia!$B$2:$D997, 3, FALSE)*(1+Datos!$E$1)), "Revisar")</f>
        <v>Revisar</v>
      </c>
      <c r="G405" s="11" t="str">
        <f>IFERROR(F405*Datos!$B$3, "Revisar")</f>
        <v>Revisar</v>
      </c>
      <c r="H405" s="12" t="str">
        <f>IFERROR(G405*Datos!$B$1, "Revisar")</f>
        <v>Revisar</v>
      </c>
      <c r="I405" s="13" t="str">
        <f>IFERROR((VLOOKUP(B405, Roccia!$B$2:$D997, 3, FALSE) /(1-Datos!$E$1)), "Revisar")</f>
        <v>Revisar</v>
      </c>
      <c r="J405" s="13" t="str">
        <f>IFERROR(I405*Datos!$B$3, "Revisar")</f>
        <v>Revisar</v>
      </c>
      <c r="K405" s="13" t="str">
        <f t="shared" si="3"/>
        <v>Revisar</v>
      </c>
    </row>
    <row r="406">
      <c r="A406" s="8"/>
      <c r="B406" s="9"/>
      <c r="C406" s="10"/>
      <c r="D406" s="11"/>
      <c r="E406" s="11"/>
      <c r="F406" s="11" t="str">
        <f>IFERROR((VLOOKUP(B406, Roccia!$B$2:$D997, 3, FALSE)*(1+Datos!$E$1)), "Revisar")</f>
        <v>Revisar</v>
      </c>
      <c r="G406" s="11" t="str">
        <f>IFERROR(F406*Datos!$B$3, "Revisar")</f>
        <v>Revisar</v>
      </c>
      <c r="H406" s="12" t="str">
        <f>IFERROR(G406*Datos!$B$1, "Revisar")</f>
        <v>Revisar</v>
      </c>
      <c r="I406" s="13" t="str">
        <f>IFERROR((VLOOKUP(B406, Roccia!$B$2:$D997, 3, FALSE) /(1-Datos!$E$1)), "Revisar")</f>
        <v>Revisar</v>
      </c>
      <c r="J406" s="13" t="str">
        <f>IFERROR(I406*Datos!$B$3, "Revisar")</f>
        <v>Revisar</v>
      </c>
      <c r="K406" s="13" t="str">
        <f t="shared" si="3"/>
        <v>Revisar</v>
      </c>
    </row>
    <row r="407">
      <c r="A407" s="8"/>
      <c r="B407" s="9"/>
      <c r="C407" s="10"/>
      <c r="D407" s="11"/>
      <c r="E407" s="11"/>
      <c r="F407" s="11" t="str">
        <f>IFERROR((VLOOKUP(B407, Roccia!$B$2:$D997, 3, FALSE)*(1+Datos!$E$1)), "Revisar")</f>
        <v>Revisar</v>
      </c>
      <c r="G407" s="11" t="str">
        <f>IFERROR(F407*Datos!$B$3, "Revisar")</f>
        <v>Revisar</v>
      </c>
      <c r="H407" s="12" t="str">
        <f>IFERROR(G407*Datos!$B$1, "Revisar")</f>
        <v>Revisar</v>
      </c>
      <c r="I407" s="13" t="str">
        <f>IFERROR((VLOOKUP(B407, Roccia!$B$2:$D997, 3, FALSE) /(1-Datos!$E$1)), "Revisar")</f>
        <v>Revisar</v>
      </c>
      <c r="J407" s="13" t="str">
        <f>IFERROR(I407*Datos!$B$3, "Revisar")</f>
        <v>Revisar</v>
      </c>
      <c r="K407" s="13" t="str">
        <f t="shared" si="3"/>
        <v>Revisar</v>
      </c>
    </row>
    <row r="408">
      <c r="A408" s="8"/>
      <c r="B408" s="9"/>
      <c r="C408" s="10"/>
      <c r="D408" s="11"/>
      <c r="E408" s="11"/>
      <c r="F408" s="11" t="str">
        <f>IFERROR((VLOOKUP(B408, Roccia!$B$2:$D997, 3, FALSE)*(1+Datos!$E$1)), "Revisar")</f>
        <v>Revisar</v>
      </c>
      <c r="G408" s="11" t="str">
        <f>IFERROR(F408*Datos!$B$3, "Revisar")</f>
        <v>Revisar</v>
      </c>
      <c r="H408" s="12" t="str">
        <f>IFERROR(G408*Datos!$B$1, "Revisar")</f>
        <v>Revisar</v>
      </c>
      <c r="I408" s="13" t="str">
        <f>IFERROR((VLOOKUP(B408, Roccia!$B$2:$D997, 3, FALSE) /(1-Datos!$E$1)), "Revisar")</f>
        <v>Revisar</v>
      </c>
      <c r="J408" s="13" t="str">
        <f>IFERROR(I408*Datos!$B$3, "Revisar")</f>
        <v>Revisar</v>
      </c>
      <c r="K408" s="13" t="str">
        <f t="shared" si="3"/>
        <v>Revisar</v>
      </c>
    </row>
    <row r="409">
      <c r="A409" s="8"/>
      <c r="B409" s="9"/>
      <c r="C409" s="10"/>
      <c r="D409" s="11"/>
      <c r="E409" s="11"/>
      <c r="F409" s="11" t="str">
        <f>IFERROR((VLOOKUP(B409, Roccia!$B$2:$D997, 3, FALSE)*(1+Datos!$E$1)), "Revisar")</f>
        <v>Revisar</v>
      </c>
      <c r="G409" s="11" t="str">
        <f>IFERROR(F409*Datos!$B$3, "Revisar")</f>
        <v>Revisar</v>
      </c>
      <c r="H409" s="12" t="str">
        <f>IFERROR(G409*Datos!$B$1, "Revisar")</f>
        <v>Revisar</v>
      </c>
      <c r="I409" s="13" t="str">
        <f>IFERROR((VLOOKUP(B409, Roccia!$B$2:$D997, 3, FALSE) /(1-Datos!$E$1)), "Revisar")</f>
        <v>Revisar</v>
      </c>
      <c r="J409" s="13" t="str">
        <f>IFERROR(I409*Datos!$B$3, "Revisar")</f>
        <v>Revisar</v>
      </c>
      <c r="K409" s="13" t="str">
        <f t="shared" si="3"/>
        <v>Revisar</v>
      </c>
    </row>
    <row r="410">
      <c r="A410" s="8"/>
      <c r="B410" s="9"/>
      <c r="C410" s="10"/>
      <c r="D410" s="11"/>
      <c r="E410" s="11"/>
      <c r="F410" s="11" t="str">
        <f>IFERROR((VLOOKUP(B410, Roccia!$B$2:$D997, 3, FALSE)*(1+Datos!$E$1)), "Revisar")</f>
        <v>Revisar</v>
      </c>
      <c r="G410" s="11" t="str">
        <f>IFERROR(F410*Datos!$B$3, "Revisar")</f>
        <v>Revisar</v>
      </c>
      <c r="H410" s="12" t="str">
        <f>IFERROR(G410*Datos!$B$1, "Revisar")</f>
        <v>Revisar</v>
      </c>
      <c r="I410" s="13" t="str">
        <f>IFERROR((VLOOKUP(B410, Roccia!$B$2:$D997, 3, FALSE) /(1-Datos!$E$1)), "Revisar")</f>
        <v>Revisar</v>
      </c>
      <c r="J410" s="13" t="str">
        <f>IFERROR(I410*Datos!$B$3, "Revisar")</f>
        <v>Revisar</v>
      </c>
      <c r="K410" s="13" t="str">
        <f t="shared" si="3"/>
        <v>Revisar</v>
      </c>
    </row>
    <row r="411">
      <c r="A411" s="8"/>
      <c r="B411" s="9"/>
      <c r="C411" s="10"/>
      <c r="D411" s="11"/>
      <c r="E411" s="11"/>
      <c r="F411" s="11" t="str">
        <f>IFERROR((VLOOKUP(B411, Roccia!$B$2:$D997, 3, FALSE)*(1+Datos!$E$1)), "Revisar")</f>
        <v>Revisar</v>
      </c>
      <c r="G411" s="11" t="str">
        <f>IFERROR(F411*Datos!$B$3, "Revisar")</f>
        <v>Revisar</v>
      </c>
      <c r="H411" s="12" t="str">
        <f>IFERROR(G411*Datos!$B$1, "Revisar")</f>
        <v>Revisar</v>
      </c>
      <c r="I411" s="13" t="str">
        <f>IFERROR((VLOOKUP(B411, Roccia!$B$2:$D997, 3, FALSE) /(1-Datos!$E$1)), "Revisar")</f>
        <v>Revisar</v>
      </c>
      <c r="J411" s="13" t="str">
        <f>IFERROR(I411*Datos!$B$3, "Revisar")</f>
        <v>Revisar</v>
      </c>
      <c r="K411" s="13" t="str">
        <f t="shared" si="3"/>
        <v>Revisar</v>
      </c>
    </row>
    <row r="412">
      <c r="A412" s="8"/>
      <c r="B412" s="9"/>
      <c r="C412" s="10"/>
      <c r="D412" s="11"/>
      <c r="E412" s="11"/>
      <c r="F412" s="11" t="str">
        <f>IFERROR((VLOOKUP(B412, Roccia!$B$2:$D997, 3, FALSE)*(1+Datos!$E$1)), "Revisar")</f>
        <v>Revisar</v>
      </c>
      <c r="G412" s="11" t="str">
        <f>IFERROR(F412*Datos!$B$3, "Revisar")</f>
        <v>Revisar</v>
      </c>
      <c r="H412" s="12" t="str">
        <f>IFERROR(G412*Datos!$B$1, "Revisar")</f>
        <v>Revisar</v>
      </c>
      <c r="I412" s="13" t="str">
        <f>IFERROR((VLOOKUP(B412, Roccia!$B$2:$D997, 3, FALSE) /(1-Datos!$E$1)), "Revisar")</f>
        <v>Revisar</v>
      </c>
      <c r="J412" s="13" t="str">
        <f>IFERROR(I412*Datos!$B$3, "Revisar")</f>
        <v>Revisar</v>
      </c>
      <c r="K412" s="13" t="str">
        <f t="shared" si="3"/>
        <v>Revisar</v>
      </c>
    </row>
    <row r="413">
      <c r="A413" s="8"/>
      <c r="B413" s="9"/>
      <c r="C413" s="10"/>
      <c r="D413" s="11"/>
      <c r="E413" s="11"/>
      <c r="F413" s="11" t="str">
        <f>IFERROR((VLOOKUP(B413, Roccia!$B$2:$D997, 3, FALSE)*(1+Datos!$E$1)), "Revisar")</f>
        <v>Revisar</v>
      </c>
      <c r="G413" s="11" t="str">
        <f>IFERROR(F413*Datos!$B$3, "Revisar")</f>
        <v>Revisar</v>
      </c>
      <c r="H413" s="12" t="str">
        <f>IFERROR(G413*Datos!$B$1, "Revisar")</f>
        <v>Revisar</v>
      </c>
      <c r="I413" s="13" t="str">
        <f>IFERROR((VLOOKUP(B413, Roccia!$B$2:$D997, 3, FALSE) /(1-Datos!$E$1)), "Revisar")</f>
        <v>Revisar</v>
      </c>
      <c r="J413" s="13" t="str">
        <f>IFERROR(I413*Datos!$B$3, "Revisar")</f>
        <v>Revisar</v>
      </c>
      <c r="K413" s="13" t="str">
        <f t="shared" si="3"/>
        <v>Revisar</v>
      </c>
    </row>
    <row r="414">
      <c r="A414" s="8"/>
      <c r="B414" s="9"/>
      <c r="C414" s="10"/>
      <c r="D414" s="11"/>
      <c r="E414" s="11"/>
      <c r="F414" s="11" t="str">
        <f>IFERROR((VLOOKUP(B414, Roccia!$B$2:$D997, 3, FALSE)*(1+Datos!$E$1)), "Revisar")</f>
        <v>Revisar</v>
      </c>
      <c r="G414" s="11" t="str">
        <f>IFERROR(F414*Datos!$B$3, "Revisar")</f>
        <v>Revisar</v>
      </c>
      <c r="H414" s="12" t="str">
        <f>IFERROR(G414*Datos!$B$1, "Revisar")</f>
        <v>Revisar</v>
      </c>
      <c r="I414" s="13" t="str">
        <f>IFERROR((VLOOKUP(B414, Roccia!$B$2:$D997, 3, FALSE) /(1-Datos!$E$1)), "Revisar")</f>
        <v>Revisar</v>
      </c>
      <c r="J414" s="13" t="str">
        <f>IFERROR(I414*Datos!$B$3, "Revisar")</f>
        <v>Revisar</v>
      </c>
      <c r="K414" s="13" t="str">
        <f t="shared" si="3"/>
        <v>Revisar</v>
      </c>
    </row>
    <row r="415">
      <c r="A415" s="8"/>
      <c r="B415" s="9"/>
      <c r="C415" s="10"/>
      <c r="D415" s="11"/>
      <c r="E415" s="11"/>
      <c r="F415" s="11" t="str">
        <f>IFERROR((VLOOKUP(B415, Roccia!$B$2:$D997, 3, FALSE)*(1+Datos!$E$1)), "Revisar")</f>
        <v>Revisar</v>
      </c>
      <c r="G415" s="11" t="str">
        <f>IFERROR(F415*Datos!$B$3, "Revisar")</f>
        <v>Revisar</v>
      </c>
      <c r="H415" s="12" t="str">
        <f>IFERROR(G415*Datos!$B$1, "Revisar")</f>
        <v>Revisar</v>
      </c>
      <c r="I415" s="13" t="str">
        <f>IFERROR((VLOOKUP(B415, Roccia!$B$2:$D997, 3, FALSE) /(1-Datos!$E$1)), "Revisar")</f>
        <v>Revisar</v>
      </c>
      <c r="J415" s="13" t="str">
        <f>IFERROR(I415*Datos!$B$3, "Revisar")</f>
        <v>Revisar</v>
      </c>
      <c r="K415" s="13" t="str">
        <f t="shared" si="3"/>
        <v>Revisar</v>
      </c>
    </row>
    <row r="416">
      <c r="A416" s="8"/>
      <c r="B416" s="9"/>
      <c r="C416" s="10"/>
      <c r="D416" s="11"/>
      <c r="E416" s="11"/>
      <c r="F416" s="11" t="str">
        <f>IFERROR((VLOOKUP(B416, Roccia!$B$2:$D997, 3, FALSE)*(1+Datos!$E$1)), "Revisar")</f>
        <v>Revisar</v>
      </c>
      <c r="G416" s="11" t="str">
        <f>IFERROR(F416*Datos!$B$3, "Revisar")</f>
        <v>Revisar</v>
      </c>
      <c r="H416" s="12" t="str">
        <f>IFERROR(G416*Datos!$B$1, "Revisar")</f>
        <v>Revisar</v>
      </c>
      <c r="I416" s="13" t="str">
        <f>IFERROR((VLOOKUP(B416, Roccia!$B$2:$D997, 3, FALSE) /(1-Datos!$E$1)), "Revisar")</f>
        <v>Revisar</v>
      </c>
      <c r="J416" s="13" t="str">
        <f>IFERROR(I416*Datos!$B$3, "Revisar")</f>
        <v>Revisar</v>
      </c>
      <c r="K416" s="13" t="str">
        <f t="shared" si="3"/>
        <v>Revisar</v>
      </c>
    </row>
    <row r="417">
      <c r="A417" s="8"/>
      <c r="B417" s="9"/>
      <c r="C417" s="10"/>
      <c r="D417" s="11"/>
      <c r="E417" s="11"/>
      <c r="F417" s="11" t="str">
        <f>IFERROR((VLOOKUP(B417, Roccia!$B$2:$D997, 3, FALSE)*(1+Datos!$E$1)), "Revisar")</f>
        <v>Revisar</v>
      </c>
      <c r="G417" s="11" t="str">
        <f>IFERROR(F417*Datos!$B$3, "Revisar")</f>
        <v>Revisar</v>
      </c>
      <c r="H417" s="12" t="str">
        <f>IFERROR(G417*Datos!$B$1, "Revisar")</f>
        <v>Revisar</v>
      </c>
      <c r="I417" s="13" t="str">
        <f>IFERROR((VLOOKUP(B417, Roccia!$B$2:$D997, 3, FALSE) /(1-Datos!$E$1)), "Revisar")</f>
        <v>Revisar</v>
      </c>
      <c r="J417" s="13" t="str">
        <f>IFERROR(I417*Datos!$B$3, "Revisar")</f>
        <v>Revisar</v>
      </c>
      <c r="K417" s="13" t="str">
        <f t="shared" si="3"/>
        <v>Revisar</v>
      </c>
    </row>
    <row r="418">
      <c r="A418" s="8"/>
      <c r="B418" s="9"/>
      <c r="C418" s="10"/>
      <c r="D418" s="11"/>
      <c r="E418" s="11"/>
      <c r="F418" s="11" t="str">
        <f>IFERROR((VLOOKUP(B418, Roccia!$B$2:$D997, 3, FALSE)*(1+Datos!$E$1)), "Revisar")</f>
        <v>Revisar</v>
      </c>
      <c r="G418" s="11" t="str">
        <f>IFERROR(F418*Datos!$B$3, "Revisar")</f>
        <v>Revisar</v>
      </c>
      <c r="H418" s="12" t="str">
        <f>IFERROR(G418*Datos!$B$1, "Revisar")</f>
        <v>Revisar</v>
      </c>
      <c r="I418" s="13" t="str">
        <f>IFERROR((VLOOKUP(B418, Roccia!$B$2:$D997, 3, FALSE) /(1-Datos!$E$1)), "Revisar")</f>
        <v>Revisar</v>
      </c>
      <c r="J418" s="13" t="str">
        <f>IFERROR(I418*Datos!$B$3, "Revisar")</f>
        <v>Revisar</v>
      </c>
      <c r="K418" s="13" t="str">
        <f t="shared" si="3"/>
        <v>Revisar</v>
      </c>
    </row>
    <row r="419">
      <c r="A419" s="8"/>
      <c r="B419" s="9"/>
      <c r="C419" s="10"/>
      <c r="D419" s="11"/>
      <c r="E419" s="11"/>
      <c r="F419" s="11" t="str">
        <f>IFERROR((VLOOKUP(B419, Roccia!$B$2:$D997, 3, FALSE)*(1+Datos!$E$1)), "Revisar")</f>
        <v>Revisar</v>
      </c>
      <c r="G419" s="11" t="str">
        <f>IFERROR(F419*Datos!$B$3, "Revisar")</f>
        <v>Revisar</v>
      </c>
      <c r="H419" s="12" t="str">
        <f>IFERROR(G419*Datos!$B$1, "Revisar")</f>
        <v>Revisar</v>
      </c>
      <c r="I419" s="13" t="str">
        <f>IFERROR((VLOOKUP(B419, Roccia!$B$2:$D997, 3, FALSE) /(1-Datos!$E$1)), "Revisar")</f>
        <v>Revisar</v>
      </c>
      <c r="J419" s="13" t="str">
        <f>IFERROR(I419*Datos!$B$3, "Revisar")</f>
        <v>Revisar</v>
      </c>
      <c r="K419" s="13" t="str">
        <f t="shared" si="3"/>
        <v>Revisar</v>
      </c>
    </row>
    <row r="420">
      <c r="A420" s="8"/>
      <c r="B420" s="9"/>
      <c r="C420" s="10"/>
      <c r="D420" s="11"/>
      <c r="E420" s="11"/>
      <c r="F420" s="11" t="str">
        <f>IFERROR((VLOOKUP(B420, Roccia!$B$2:$D997, 3, FALSE)*(1+Datos!$E$1)), "Revisar")</f>
        <v>Revisar</v>
      </c>
      <c r="G420" s="11" t="str">
        <f>IFERROR(F420*Datos!$B$3, "Revisar")</f>
        <v>Revisar</v>
      </c>
      <c r="H420" s="12" t="str">
        <f>IFERROR(G420*Datos!$B$1, "Revisar")</f>
        <v>Revisar</v>
      </c>
      <c r="I420" s="13" t="str">
        <f>IFERROR((VLOOKUP(B420, Roccia!$B$2:$D997, 3, FALSE) /(1-Datos!$E$1)), "Revisar")</f>
        <v>Revisar</v>
      </c>
      <c r="J420" s="13" t="str">
        <f>IFERROR(I420*Datos!$B$3, "Revisar")</f>
        <v>Revisar</v>
      </c>
      <c r="K420" s="13" t="str">
        <f t="shared" si="3"/>
        <v>Revisar</v>
      </c>
    </row>
    <row r="421">
      <c r="A421" s="8"/>
      <c r="B421" s="9"/>
      <c r="C421" s="10"/>
      <c r="D421" s="11"/>
      <c r="E421" s="11"/>
      <c r="F421" s="11" t="str">
        <f>IFERROR((VLOOKUP(B421, Roccia!$B$2:$D997, 3, FALSE)*(1+Datos!$E$1)), "Revisar")</f>
        <v>Revisar</v>
      </c>
      <c r="G421" s="11" t="str">
        <f>IFERROR(F421*Datos!$B$3, "Revisar")</f>
        <v>Revisar</v>
      </c>
      <c r="H421" s="12" t="str">
        <f>IFERROR(G421*Datos!$B$1, "Revisar")</f>
        <v>Revisar</v>
      </c>
      <c r="I421" s="13" t="str">
        <f>IFERROR((VLOOKUP(B421, Roccia!$B$2:$D997, 3, FALSE) /(1-Datos!$E$1)), "Revisar")</f>
        <v>Revisar</v>
      </c>
      <c r="J421" s="13" t="str">
        <f>IFERROR(I421*Datos!$B$3, "Revisar")</f>
        <v>Revisar</v>
      </c>
      <c r="K421" s="13" t="str">
        <f t="shared" si="3"/>
        <v>Revisar</v>
      </c>
    </row>
    <row r="422">
      <c r="A422" s="8"/>
      <c r="B422" s="9"/>
      <c r="C422" s="10"/>
      <c r="D422" s="11"/>
      <c r="E422" s="11"/>
      <c r="F422" s="11" t="str">
        <f>IFERROR((VLOOKUP(B422, Roccia!$B$2:$D997, 3, FALSE)*(1+Datos!$E$1)), "Revisar")</f>
        <v>Revisar</v>
      </c>
      <c r="G422" s="11" t="str">
        <f>IFERROR(F422*Datos!$B$3, "Revisar")</f>
        <v>Revisar</v>
      </c>
      <c r="H422" s="12" t="str">
        <f>IFERROR(G422*Datos!$B$1, "Revisar")</f>
        <v>Revisar</v>
      </c>
      <c r="I422" s="13" t="str">
        <f>IFERROR((VLOOKUP(B422, Roccia!$B$2:$D997, 3, FALSE) /(1-Datos!$E$1)), "Revisar")</f>
        <v>Revisar</v>
      </c>
      <c r="J422" s="13" t="str">
        <f>IFERROR(I422*Datos!$B$3, "Revisar")</f>
        <v>Revisar</v>
      </c>
      <c r="K422" s="13" t="str">
        <f t="shared" si="3"/>
        <v>Revisar</v>
      </c>
    </row>
    <row r="423">
      <c r="A423" s="8"/>
      <c r="B423" s="9"/>
      <c r="C423" s="10"/>
      <c r="D423" s="11"/>
      <c r="E423" s="11"/>
      <c r="F423" s="11" t="str">
        <f>IFERROR((VLOOKUP(B423, Roccia!$B$2:$D997, 3, FALSE)*(1+Datos!$E$1)), "Revisar")</f>
        <v>Revisar</v>
      </c>
      <c r="G423" s="11" t="str">
        <f>IFERROR(F423*Datos!$B$3, "Revisar")</f>
        <v>Revisar</v>
      </c>
      <c r="H423" s="12" t="str">
        <f>IFERROR(G423*Datos!$B$1, "Revisar")</f>
        <v>Revisar</v>
      </c>
      <c r="I423" s="13" t="str">
        <f>IFERROR((VLOOKUP(B423, Roccia!$B$2:$D997, 3, FALSE) /(1-Datos!$E$1)), "Revisar")</f>
        <v>Revisar</v>
      </c>
      <c r="J423" s="13" t="str">
        <f>IFERROR(I423*Datos!$B$3, "Revisar")</f>
        <v>Revisar</v>
      </c>
      <c r="K423" s="13" t="str">
        <f t="shared" si="3"/>
        <v>Revisar</v>
      </c>
    </row>
    <row r="424">
      <c r="A424" s="8"/>
      <c r="B424" s="9"/>
      <c r="C424" s="10"/>
      <c r="D424" s="11"/>
      <c r="E424" s="11"/>
      <c r="F424" s="11" t="str">
        <f>IFERROR((VLOOKUP(B424, Roccia!$B$2:$D997, 3, FALSE)*(1+Datos!$E$1)), "Revisar")</f>
        <v>Revisar</v>
      </c>
      <c r="G424" s="11" t="str">
        <f>IFERROR(F424*Datos!$B$3, "Revisar")</f>
        <v>Revisar</v>
      </c>
      <c r="H424" s="12" t="str">
        <f>IFERROR(G424*Datos!$B$1, "Revisar")</f>
        <v>Revisar</v>
      </c>
      <c r="I424" s="13" t="str">
        <f>IFERROR((VLOOKUP(B424, Roccia!$B$2:$D997, 3, FALSE) /(1-Datos!$E$1)), "Revisar")</f>
        <v>Revisar</v>
      </c>
      <c r="J424" s="13" t="str">
        <f>IFERROR(I424*Datos!$B$3, "Revisar")</f>
        <v>Revisar</v>
      </c>
      <c r="K424" s="13" t="str">
        <f t="shared" si="3"/>
        <v>Revisar</v>
      </c>
    </row>
    <row r="425">
      <c r="A425" s="8"/>
      <c r="B425" s="9"/>
      <c r="C425" s="10"/>
      <c r="D425" s="11"/>
      <c r="E425" s="11"/>
      <c r="F425" s="11" t="str">
        <f>IFERROR((VLOOKUP(B425, Roccia!$B$2:$D997, 3, FALSE)*(1+Datos!$E$1)), "Revisar")</f>
        <v>Revisar</v>
      </c>
      <c r="G425" s="11" t="str">
        <f>IFERROR(F425*Datos!$B$3, "Revisar")</f>
        <v>Revisar</v>
      </c>
      <c r="H425" s="12" t="str">
        <f>IFERROR(G425*Datos!$B$1, "Revisar")</f>
        <v>Revisar</v>
      </c>
      <c r="I425" s="13" t="str">
        <f>IFERROR((VLOOKUP(B425, Roccia!$B$2:$D997, 3, FALSE) /(1-Datos!$E$1)), "Revisar")</f>
        <v>Revisar</v>
      </c>
      <c r="J425" s="13" t="str">
        <f>IFERROR(I425*Datos!$B$3, "Revisar")</f>
        <v>Revisar</v>
      </c>
      <c r="K425" s="13" t="str">
        <f t="shared" si="3"/>
        <v>Revisar</v>
      </c>
    </row>
    <row r="426">
      <c r="A426" s="8"/>
      <c r="B426" s="9"/>
      <c r="C426" s="10"/>
      <c r="D426" s="11"/>
      <c r="E426" s="11"/>
      <c r="F426" s="11" t="str">
        <f>IFERROR((VLOOKUP(B426, Roccia!$B$2:$D997, 3, FALSE)*(1+Datos!$E$1)), "Revisar")</f>
        <v>Revisar</v>
      </c>
      <c r="G426" s="11" t="str">
        <f>IFERROR(F426*Datos!$B$3, "Revisar")</f>
        <v>Revisar</v>
      </c>
      <c r="H426" s="12" t="str">
        <f>IFERROR(G426*Datos!$B$1, "Revisar")</f>
        <v>Revisar</v>
      </c>
      <c r="I426" s="13" t="str">
        <f>IFERROR((VLOOKUP(B426, Roccia!$B$2:$D997, 3, FALSE) /(1-Datos!$E$1)), "Revisar")</f>
        <v>Revisar</v>
      </c>
      <c r="J426" s="13" t="str">
        <f>IFERROR(I426*Datos!$B$3, "Revisar")</f>
        <v>Revisar</v>
      </c>
      <c r="K426" s="13" t="str">
        <f t="shared" si="3"/>
        <v>Revisar</v>
      </c>
    </row>
    <row r="427">
      <c r="A427" s="8"/>
      <c r="B427" s="9"/>
      <c r="C427" s="10"/>
      <c r="D427" s="11"/>
      <c r="E427" s="11"/>
      <c r="F427" s="11" t="str">
        <f>IFERROR((VLOOKUP(B427, Roccia!$B$2:$D997, 3, FALSE)*(1+Datos!$E$1)), "Revisar")</f>
        <v>Revisar</v>
      </c>
      <c r="G427" s="11" t="str">
        <f>IFERROR(F427*Datos!$B$3, "Revisar")</f>
        <v>Revisar</v>
      </c>
      <c r="H427" s="12" t="str">
        <f>IFERROR(G427*Datos!$B$1, "Revisar")</f>
        <v>Revisar</v>
      </c>
      <c r="I427" s="13" t="str">
        <f>IFERROR((VLOOKUP(B427, Roccia!$B$2:$D997, 3, FALSE) /(1-Datos!$E$1)), "Revisar")</f>
        <v>Revisar</v>
      </c>
      <c r="J427" s="13" t="str">
        <f>IFERROR(I427*Datos!$B$3, "Revisar")</f>
        <v>Revisar</v>
      </c>
      <c r="K427" s="13" t="str">
        <f t="shared" si="3"/>
        <v>Revisar</v>
      </c>
    </row>
    <row r="428">
      <c r="A428" s="8"/>
      <c r="B428" s="9"/>
      <c r="C428" s="10"/>
      <c r="D428" s="11"/>
      <c r="E428" s="11"/>
      <c r="F428" s="11" t="str">
        <f>IFERROR((VLOOKUP(B428, Roccia!$B$2:$D997, 3, FALSE)*(1+Datos!$E$1)), "Revisar")</f>
        <v>Revisar</v>
      </c>
      <c r="G428" s="11" t="str">
        <f>IFERROR(F428*Datos!$B$3, "Revisar")</f>
        <v>Revisar</v>
      </c>
      <c r="H428" s="12" t="str">
        <f>IFERROR(G428*Datos!$B$1, "Revisar")</f>
        <v>Revisar</v>
      </c>
      <c r="I428" s="13" t="str">
        <f>IFERROR((VLOOKUP(B428, Roccia!$B$2:$D997, 3, FALSE) /(1-Datos!$E$1)), "Revisar")</f>
        <v>Revisar</v>
      </c>
      <c r="J428" s="13" t="str">
        <f>IFERROR(I428*Datos!$B$3, "Revisar")</f>
        <v>Revisar</v>
      </c>
      <c r="K428" s="13" t="str">
        <f t="shared" si="3"/>
        <v>Revisar</v>
      </c>
    </row>
    <row r="429">
      <c r="A429" s="8"/>
      <c r="B429" s="9"/>
      <c r="C429" s="10"/>
      <c r="D429" s="11"/>
      <c r="E429" s="11"/>
      <c r="F429" s="11" t="str">
        <f>IFERROR((VLOOKUP(B429, Roccia!$B$2:$D997, 3, FALSE)*(1+Datos!$E$1)), "Revisar")</f>
        <v>Revisar</v>
      </c>
      <c r="G429" s="11" t="str">
        <f>IFERROR(F429*Datos!$B$3, "Revisar")</f>
        <v>Revisar</v>
      </c>
      <c r="H429" s="12" t="str">
        <f>IFERROR(G429*Datos!$B$1, "Revisar")</f>
        <v>Revisar</v>
      </c>
      <c r="I429" s="13" t="str">
        <f>IFERROR((VLOOKUP(B429, Roccia!$B$2:$D997, 3, FALSE) /(1-Datos!$E$1)), "Revisar")</f>
        <v>Revisar</v>
      </c>
      <c r="J429" s="13" t="str">
        <f>IFERROR(I429*Datos!$B$3, "Revisar")</f>
        <v>Revisar</v>
      </c>
      <c r="K429" s="13" t="str">
        <f t="shared" si="3"/>
        <v>Revisar</v>
      </c>
    </row>
    <row r="430">
      <c r="A430" s="8"/>
      <c r="B430" s="9"/>
      <c r="C430" s="10"/>
      <c r="D430" s="11"/>
      <c r="E430" s="11"/>
      <c r="F430" s="11" t="str">
        <f>IFERROR((VLOOKUP(B430, Roccia!$B$2:$D997, 3, FALSE)*(1+Datos!$E$1)), "Revisar")</f>
        <v>Revisar</v>
      </c>
      <c r="G430" s="11" t="str">
        <f>IFERROR(F430*Datos!$B$3, "Revisar")</f>
        <v>Revisar</v>
      </c>
      <c r="H430" s="12" t="str">
        <f>IFERROR(G430*Datos!$B$1, "Revisar")</f>
        <v>Revisar</v>
      </c>
      <c r="I430" s="13" t="str">
        <f>IFERROR((VLOOKUP(B430, Roccia!$B$2:$D997, 3, FALSE) /(1-Datos!$E$1)), "Revisar")</f>
        <v>Revisar</v>
      </c>
      <c r="J430" s="13" t="str">
        <f>IFERROR(I430*Datos!$B$3, "Revisar")</f>
        <v>Revisar</v>
      </c>
      <c r="K430" s="13" t="str">
        <f t="shared" si="3"/>
        <v>Revisar</v>
      </c>
    </row>
    <row r="431">
      <c r="A431" s="8"/>
      <c r="B431" s="9"/>
      <c r="C431" s="10"/>
      <c r="D431" s="11"/>
      <c r="E431" s="11"/>
      <c r="F431" s="11" t="str">
        <f>IFERROR((VLOOKUP(B431, Roccia!$B$2:$D997, 3, FALSE)*(1+Datos!$E$1)), "Revisar")</f>
        <v>Revisar</v>
      </c>
      <c r="G431" s="11" t="str">
        <f>IFERROR(F431*Datos!$B$3, "Revisar")</f>
        <v>Revisar</v>
      </c>
      <c r="H431" s="12" t="str">
        <f>IFERROR(G431*Datos!$B$1, "Revisar")</f>
        <v>Revisar</v>
      </c>
      <c r="I431" s="13" t="str">
        <f>IFERROR((VLOOKUP(B431, Roccia!$B$2:$D997, 3, FALSE) /(1-Datos!$E$1)), "Revisar")</f>
        <v>Revisar</v>
      </c>
      <c r="J431" s="13" t="str">
        <f>IFERROR(I431*Datos!$B$3, "Revisar")</f>
        <v>Revisar</v>
      </c>
      <c r="K431" s="13" t="str">
        <f t="shared" si="3"/>
        <v>Revisar</v>
      </c>
    </row>
    <row r="432">
      <c r="A432" s="8"/>
      <c r="B432" s="9"/>
      <c r="C432" s="10"/>
      <c r="D432" s="11"/>
      <c r="E432" s="11"/>
      <c r="F432" s="11" t="str">
        <f>IFERROR((VLOOKUP(B432, Roccia!$B$2:$D997, 3, FALSE)*(1+Datos!$E$1)), "Revisar")</f>
        <v>Revisar</v>
      </c>
      <c r="G432" s="11" t="str">
        <f>IFERROR(F432*Datos!$B$3, "Revisar")</f>
        <v>Revisar</v>
      </c>
      <c r="H432" s="12" t="str">
        <f>IFERROR(G432*Datos!$B$1, "Revisar")</f>
        <v>Revisar</v>
      </c>
      <c r="I432" s="13" t="str">
        <f>IFERROR((VLOOKUP(B432, Roccia!$B$2:$D997, 3, FALSE) /(1-Datos!$E$1)), "Revisar")</f>
        <v>Revisar</v>
      </c>
      <c r="J432" s="13" t="str">
        <f>IFERROR(I432*Datos!$B$3, "Revisar")</f>
        <v>Revisar</v>
      </c>
      <c r="K432" s="13" t="str">
        <f t="shared" si="3"/>
        <v>Revisar</v>
      </c>
    </row>
    <row r="433">
      <c r="A433" s="8"/>
      <c r="B433" s="9"/>
      <c r="C433" s="10"/>
      <c r="D433" s="11"/>
      <c r="E433" s="11"/>
      <c r="F433" s="11" t="str">
        <f>IFERROR((VLOOKUP(B433, Roccia!$B$2:$D997, 3, FALSE)*(1+Datos!$E$1)), "Revisar")</f>
        <v>Revisar</v>
      </c>
      <c r="G433" s="11" t="str">
        <f>IFERROR(F433*Datos!$B$3, "Revisar")</f>
        <v>Revisar</v>
      </c>
      <c r="H433" s="12" t="str">
        <f>IFERROR(G433*Datos!$B$1, "Revisar")</f>
        <v>Revisar</v>
      </c>
      <c r="I433" s="13" t="str">
        <f>IFERROR((VLOOKUP(B433, Roccia!$B$2:$D997, 3, FALSE) /(1-Datos!$E$1)), "Revisar")</f>
        <v>Revisar</v>
      </c>
      <c r="J433" s="13" t="str">
        <f>IFERROR(I433*Datos!$B$3, "Revisar")</f>
        <v>Revisar</v>
      </c>
      <c r="K433" s="13" t="str">
        <f t="shared" si="3"/>
        <v>Revisar</v>
      </c>
    </row>
    <row r="434">
      <c r="A434" s="8"/>
      <c r="B434" s="9"/>
      <c r="C434" s="10"/>
      <c r="D434" s="11"/>
      <c r="E434" s="11"/>
      <c r="F434" s="11" t="str">
        <f>IFERROR((VLOOKUP(B434, Roccia!$B$2:$D997, 3, FALSE)*(1+Datos!$E$1)), "Revisar")</f>
        <v>Revisar</v>
      </c>
      <c r="G434" s="11" t="str">
        <f>IFERROR(F434*Datos!$B$3, "Revisar")</f>
        <v>Revisar</v>
      </c>
      <c r="H434" s="12" t="str">
        <f>IFERROR(G434*Datos!$B$1, "Revisar")</f>
        <v>Revisar</v>
      </c>
      <c r="I434" s="13" t="str">
        <f>IFERROR((VLOOKUP(B434, Roccia!$B$2:$D997, 3, FALSE) /(1-Datos!$E$1)), "Revisar")</f>
        <v>Revisar</v>
      </c>
      <c r="J434" s="13" t="str">
        <f>IFERROR(I434*Datos!$B$3, "Revisar")</f>
        <v>Revisar</v>
      </c>
      <c r="K434" s="13" t="str">
        <f t="shared" si="3"/>
        <v>Revisar</v>
      </c>
    </row>
    <row r="435">
      <c r="A435" s="8"/>
      <c r="B435" s="9"/>
      <c r="C435" s="10"/>
      <c r="D435" s="11"/>
      <c r="E435" s="11"/>
      <c r="F435" s="11" t="str">
        <f>IFERROR((VLOOKUP(B435, Roccia!$B$2:$D997, 3, FALSE)*(1+Datos!$E$1)), "Revisar")</f>
        <v>Revisar</v>
      </c>
      <c r="G435" s="11" t="str">
        <f>IFERROR(F435*Datos!$B$3, "Revisar")</f>
        <v>Revisar</v>
      </c>
      <c r="H435" s="12" t="str">
        <f>IFERROR(G435*Datos!$B$1, "Revisar")</f>
        <v>Revisar</v>
      </c>
      <c r="I435" s="13" t="str">
        <f>IFERROR((VLOOKUP(B435, Roccia!$B$2:$D997, 3, FALSE) /(1-Datos!$E$1)), "Revisar")</f>
        <v>Revisar</v>
      </c>
      <c r="J435" s="13" t="str">
        <f>IFERROR(I435*Datos!$B$3, "Revisar")</f>
        <v>Revisar</v>
      </c>
      <c r="K435" s="13" t="str">
        <f t="shared" si="3"/>
        <v>Revisar</v>
      </c>
    </row>
    <row r="436">
      <c r="A436" s="8"/>
      <c r="B436" s="9"/>
      <c r="C436" s="10"/>
      <c r="D436" s="11"/>
      <c r="E436" s="11"/>
      <c r="F436" s="11" t="str">
        <f>IFERROR((VLOOKUP(B436, Roccia!$B$2:$D997, 3, FALSE)*(1+Datos!$E$1)), "Revisar")</f>
        <v>Revisar</v>
      </c>
      <c r="G436" s="11" t="str">
        <f>IFERROR(F436*Datos!$B$3, "Revisar")</f>
        <v>Revisar</v>
      </c>
      <c r="H436" s="12" t="str">
        <f>IFERROR(G436*Datos!$B$1, "Revisar")</f>
        <v>Revisar</v>
      </c>
      <c r="I436" s="13" t="str">
        <f>IFERROR((VLOOKUP(B436, Roccia!$B$2:$D997, 3, FALSE) /(1-Datos!$E$1)), "Revisar")</f>
        <v>Revisar</v>
      </c>
      <c r="J436" s="13" t="str">
        <f>IFERROR(I436*Datos!$B$3, "Revisar")</f>
        <v>Revisar</v>
      </c>
      <c r="K436" s="13" t="str">
        <f t="shared" si="3"/>
        <v>Revisar</v>
      </c>
    </row>
    <row r="437">
      <c r="A437" s="8"/>
      <c r="B437" s="9"/>
      <c r="C437" s="10"/>
      <c r="D437" s="11"/>
      <c r="E437" s="11"/>
      <c r="F437" s="11" t="str">
        <f>IFERROR((VLOOKUP(B437, Roccia!$B$2:$D997, 3, FALSE)*(1+Datos!$E$1)), "Revisar")</f>
        <v>Revisar</v>
      </c>
      <c r="G437" s="11" t="str">
        <f>IFERROR(F437*Datos!$B$3, "Revisar")</f>
        <v>Revisar</v>
      </c>
      <c r="H437" s="12" t="str">
        <f>IFERROR(G437*Datos!$B$1, "Revisar")</f>
        <v>Revisar</v>
      </c>
      <c r="I437" s="13" t="str">
        <f>IFERROR((VLOOKUP(B437, Roccia!$B$2:$D997, 3, FALSE) /(1-Datos!$E$1)), "Revisar")</f>
        <v>Revisar</v>
      </c>
      <c r="J437" s="13" t="str">
        <f>IFERROR(I437*Datos!$B$3, "Revisar")</f>
        <v>Revisar</v>
      </c>
      <c r="K437" s="13" t="str">
        <f t="shared" si="3"/>
        <v>Revisar</v>
      </c>
    </row>
    <row r="438">
      <c r="A438" s="8"/>
      <c r="B438" s="9"/>
      <c r="C438" s="10"/>
      <c r="D438" s="11"/>
      <c r="E438" s="11"/>
      <c r="F438" s="11" t="str">
        <f>IFERROR((VLOOKUP(B438, Roccia!$B$2:$D997, 3, FALSE)*(1+Datos!$E$1)), "Revisar")</f>
        <v>Revisar</v>
      </c>
      <c r="G438" s="11" t="str">
        <f>IFERROR(F438*Datos!$B$3, "Revisar")</f>
        <v>Revisar</v>
      </c>
      <c r="H438" s="12" t="str">
        <f>IFERROR(G438*Datos!$B$1, "Revisar")</f>
        <v>Revisar</v>
      </c>
      <c r="I438" s="13" t="str">
        <f>IFERROR((VLOOKUP(B438, Roccia!$B$2:$D997, 3, FALSE) /(1-Datos!$E$1)), "Revisar")</f>
        <v>Revisar</v>
      </c>
      <c r="J438" s="13" t="str">
        <f>IFERROR(I438*Datos!$B$3, "Revisar")</f>
        <v>Revisar</v>
      </c>
      <c r="K438" s="13" t="str">
        <f t="shared" si="3"/>
        <v>Revisar</v>
      </c>
    </row>
    <row r="439">
      <c r="A439" s="8"/>
      <c r="B439" s="9"/>
      <c r="C439" s="10"/>
      <c r="D439" s="11"/>
      <c r="E439" s="11"/>
      <c r="F439" s="11" t="str">
        <f>IFERROR((VLOOKUP(B439, Roccia!$B$2:$D997, 3, FALSE)*(1+Datos!$E$1)), "Revisar")</f>
        <v>Revisar</v>
      </c>
      <c r="G439" s="11" t="str">
        <f>IFERROR(F439*Datos!$B$3, "Revisar")</f>
        <v>Revisar</v>
      </c>
      <c r="H439" s="12" t="str">
        <f>IFERROR(G439*Datos!$B$1, "Revisar")</f>
        <v>Revisar</v>
      </c>
      <c r="I439" s="13" t="str">
        <f>IFERROR((VLOOKUP(B439, Roccia!$B$2:$D997, 3, FALSE) /(1-Datos!$E$1)), "Revisar")</f>
        <v>Revisar</v>
      </c>
      <c r="J439" s="13" t="str">
        <f>IFERROR(I439*Datos!$B$3, "Revisar")</f>
        <v>Revisar</v>
      </c>
      <c r="K439" s="13" t="str">
        <f t="shared" si="3"/>
        <v>Revisar</v>
      </c>
    </row>
    <row r="440">
      <c r="A440" s="8"/>
      <c r="B440" s="9"/>
      <c r="C440" s="10"/>
      <c r="D440" s="11"/>
      <c r="E440" s="11"/>
      <c r="F440" s="11" t="str">
        <f>IFERROR((VLOOKUP(B440, Roccia!$B$2:$D997, 3, FALSE)*(1+Datos!$E$1)), "Revisar")</f>
        <v>Revisar</v>
      </c>
      <c r="G440" s="11" t="str">
        <f>IFERROR(F440*Datos!$B$3, "Revisar")</f>
        <v>Revisar</v>
      </c>
      <c r="H440" s="12" t="str">
        <f>IFERROR(G440*Datos!$B$1, "Revisar")</f>
        <v>Revisar</v>
      </c>
      <c r="I440" s="13" t="str">
        <f>IFERROR((VLOOKUP(B440, Roccia!$B$2:$D997, 3, FALSE) /(1-Datos!$E$1)), "Revisar")</f>
        <v>Revisar</v>
      </c>
      <c r="J440" s="13" t="str">
        <f>IFERROR(I440*Datos!$B$3, "Revisar")</f>
        <v>Revisar</v>
      </c>
      <c r="K440" s="13" t="str">
        <f t="shared" si="3"/>
        <v>Revisar</v>
      </c>
    </row>
    <row r="441">
      <c r="A441" s="8"/>
      <c r="B441" s="9"/>
      <c r="C441" s="10"/>
      <c r="D441" s="11"/>
      <c r="E441" s="11"/>
      <c r="F441" s="11" t="str">
        <f>IFERROR((VLOOKUP(B441, Roccia!$B$2:$D997, 3, FALSE)*(1+Datos!$E$1)), "Revisar")</f>
        <v>Revisar</v>
      </c>
      <c r="G441" s="11" t="str">
        <f>IFERROR(F441*Datos!$B$3, "Revisar")</f>
        <v>Revisar</v>
      </c>
      <c r="H441" s="12" t="str">
        <f>IFERROR(G441*Datos!$B$1, "Revisar")</f>
        <v>Revisar</v>
      </c>
      <c r="I441" s="13" t="str">
        <f>IFERROR((VLOOKUP(B441, Roccia!$B$2:$D997, 3, FALSE) /(1-Datos!$E$1)), "Revisar")</f>
        <v>Revisar</v>
      </c>
      <c r="J441" s="13" t="str">
        <f>IFERROR(I441*Datos!$B$3, "Revisar")</f>
        <v>Revisar</v>
      </c>
      <c r="K441" s="13" t="str">
        <f t="shared" si="3"/>
        <v>Revisar</v>
      </c>
    </row>
    <row r="442">
      <c r="A442" s="8"/>
      <c r="B442" s="9"/>
      <c r="C442" s="10"/>
      <c r="D442" s="11"/>
      <c r="E442" s="11"/>
      <c r="F442" s="11" t="str">
        <f>IFERROR((VLOOKUP(B442, Roccia!$B$2:$D997, 3, FALSE)*(1+Datos!$E$1)), "Revisar")</f>
        <v>Revisar</v>
      </c>
      <c r="G442" s="11" t="str">
        <f>IFERROR(F442*Datos!$B$3, "Revisar")</f>
        <v>Revisar</v>
      </c>
      <c r="H442" s="12" t="str">
        <f>IFERROR(G442*Datos!$B$1, "Revisar")</f>
        <v>Revisar</v>
      </c>
      <c r="I442" s="13" t="str">
        <f>IFERROR((VLOOKUP(B442, Roccia!$B$2:$D997, 3, FALSE) /(1-Datos!$E$1)), "Revisar")</f>
        <v>Revisar</v>
      </c>
      <c r="J442" s="13" t="str">
        <f>IFERROR(I442*Datos!$B$3, "Revisar")</f>
        <v>Revisar</v>
      </c>
      <c r="K442" s="13" t="str">
        <f t="shared" si="3"/>
        <v>Revisar</v>
      </c>
    </row>
    <row r="443">
      <c r="A443" s="8"/>
      <c r="B443" s="9"/>
      <c r="C443" s="10"/>
      <c r="D443" s="11"/>
      <c r="E443" s="11"/>
      <c r="F443" s="11" t="str">
        <f>IFERROR((VLOOKUP(B443, Roccia!$B$2:$D997, 3, FALSE)*(1+Datos!$E$1)), "Revisar")</f>
        <v>Revisar</v>
      </c>
      <c r="G443" s="11" t="str">
        <f>IFERROR(F443*Datos!$B$3, "Revisar")</f>
        <v>Revisar</v>
      </c>
      <c r="H443" s="12" t="str">
        <f>IFERROR(G443*Datos!$B$1, "Revisar")</f>
        <v>Revisar</v>
      </c>
      <c r="I443" s="13" t="str">
        <f>IFERROR((VLOOKUP(B443, Roccia!$B$2:$D997, 3, FALSE) /(1-Datos!$E$1)), "Revisar")</f>
        <v>Revisar</v>
      </c>
      <c r="J443" s="13" t="str">
        <f>IFERROR(I443*Datos!$B$3, "Revisar")</f>
        <v>Revisar</v>
      </c>
      <c r="K443" s="13" t="str">
        <f t="shared" si="3"/>
        <v>Revisar</v>
      </c>
    </row>
    <row r="444">
      <c r="A444" s="8"/>
      <c r="B444" s="9"/>
      <c r="C444" s="10"/>
      <c r="D444" s="11"/>
      <c r="E444" s="11"/>
      <c r="F444" s="11" t="str">
        <f>IFERROR((VLOOKUP(B444, Roccia!$B$2:$D997, 3, FALSE)*(1+Datos!$E$1)), "Revisar")</f>
        <v>Revisar</v>
      </c>
      <c r="G444" s="11" t="str">
        <f>IFERROR(F444*Datos!$B$3, "Revisar")</f>
        <v>Revisar</v>
      </c>
      <c r="H444" s="12" t="str">
        <f>IFERROR(G444*Datos!$B$1, "Revisar")</f>
        <v>Revisar</v>
      </c>
      <c r="I444" s="13" t="str">
        <f>IFERROR((VLOOKUP(B444, Roccia!$B$2:$D997, 3, FALSE) /(1-Datos!$E$1)), "Revisar")</f>
        <v>Revisar</v>
      </c>
      <c r="J444" s="13" t="str">
        <f>IFERROR(I444*Datos!$B$3, "Revisar")</f>
        <v>Revisar</v>
      </c>
      <c r="K444" s="13" t="str">
        <f t="shared" si="3"/>
        <v>Revisar</v>
      </c>
    </row>
    <row r="445">
      <c r="A445" s="8"/>
      <c r="B445" s="9"/>
      <c r="C445" s="10"/>
      <c r="D445" s="11"/>
      <c r="E445" s="11"/>
      <c r="F445" s="11" t="str">
        <f>IFERROR((VLOOKUP(B445, Roccia!$B$2:$D997, 3, FALSE)*(1+Datos!$E$1)), "Revisar")</f>
        <v>Revisar</v>
      </c>
      <c r="G445" s="11" t="str">
        <f>IFERROR(F445*Datos!$B$3, "Revisar")</f>
        <v>Revisar</v>
      </c>
      <c r="H445" s="12" t="str">
        <f>IFERROR(G445*Datos!$B$1, "Revisar")</f>
        <v>Revisar</v>
      </c>
      <c r="I445" s="13" t="str">
        <f>IFERROR((VLOOKUP(B445, Roccia!$B$2:$D997, 3, FALSE) /(1-Datos!$E$1)), "Revisar")</f>
        <v>Revisar</v>
      </c>
      <c r="J445" s="13" t="str">
        <f>IFERROR(I445*Datos!$B$3, "Revisar")</f>
        <v>Revisar</v>
      </c>
      <c r="K445" s="13" t="str">
        <f t="shared" si="3"/>
        <v>Revisar</v>
      </c>
    </row>
    <row r="446">
      <c r="A446" s="8"/>
      <c r="B446" s="9"/>
      <c r="C446" s="10"/>
      <c r="D446" s="11"/>
      <c r="E446" s="11"/>
      <c r="F446" s="11" t="str">
        <f>IFERROR((VLOOKUP(B446, Roccia!$B$2:$D997, 3, FALSE)*(1+Datos!$E$1)), "Revisar")</f>
        <v>Revisar</v>
      </c>
      <c r="G446" s="11" t="str">
        <f>IFERROR(F446*Datos!$B$3, "Revisar")</f>
        <v>Revisar</v>
      </c>
      <c r="H446" s="12" t="str">
        <f>IFERROR(G446*Datos!$B$1, "Revisar")</f>
        <v>Revisar</v>
      </c>
      <c r="I446" s="13" t="str">
        <f>IFERROR((VLOOKUP(B446, Roccia!$B$2:$D997, 3, FALSE) /(1-Datos!$E$1)), "Revisar")</f>
        <v>Revisar</v>
      </c>
      <c r="J446" s="13" t="str">
        <f>IFERROR(I446*Datos!$B$3, "Revisar")</f>
        <v>Revisar</v>
      </c>
      <c r="K446" s="13" t="str">
        <f t="shared" si="3"/>
        <v>Revisar</v>
      </c>
    </row>
    <row r="447">
      <c r="A447" s="8"/>
      <c r="B447" s="9"/>
      <c r="C447" s="10"/>
      <c r="D447" s="11"/>
      <c r="E447" s="11"/>
      <c r="F447" s="11" t="str">
        <f>IFERROR((VLOOKUP(B447, Roccia!$B$2:$D997, 3, FALSE)*(1+Datos!$E$1)), "Revisar")</f>
        <v>Revisar</v>
      </c>
      <c r="G447" s="11" t="str">
        <f>IFERROR(F447*Datos!$B$3, "Revisar")</f>
        <v>Revisar</v>
      </c>
      <c r="H447" s="12" t="str">
        <f>IFERROR(G447*Datos!$B$1, "Revisar")</f>
        <v>Revisar</v>
      </c>
      <c r="I447" s="13" t="str">
        <f>IFERROR((VLOOKUP(B447, Roccia!$B$2:$D997, 3, FALSE) /(1-Datos!$E$1)), "Revisar")</f>
        <v>Revisar</v>
      </c>
      <c r="J447" s="13" t="str">
        <f>IFERROR(I447*Datos!$B$3, "Revisar")</f>
        <v>Revisar</v>
      </c>
      <c r="K447" s="13" t="str">
        <f t="shared" si="3"/>
        <v>Revisar</v>
      </c>
    </row>
    <row r="448">
      <c r="A448" s="8"/>
      <c r="B448" s="9"/>
      <c r="C448" s="10"/>
      <c r="D448" s="11"/>
      <c r="E448" s="11"/>
      <c r="F448" s="11" t="str">
        <f>IFERROR((VLOOKUP(B448, Roccia!$B$2:$D997, 3, FALSE)*(1+Datos!$E$1)), "Revisar")</f>
        <v>Revisar</v>
      </c>
      <c r="G448" s="11" t="str">
        <f>IFERROR(F448*Datos!$B$3, "Revisar")</f>
        <v>Revisar</v>
      </c>
      <c r="H448" s="12" t="str">
        <f>IFERROR(G448*Datos!$B$1, "Revisar")</f>
        <v>Revisar</v>
      </c>
      <c r="I448" s="13" t="str">
        <f>IFERROR((VLOOKUP(B448, Roccia!$B$2:$D997, 3, FALSE) /(1-Datos!$E$1)), "Revisar")</f>
        <v>Revisar</v>
      </c>
      <c r="J448" s="13" t="str">
        <f>IFERROR(I448*Datos!$B$3, "Revisar")</f>
        <v>Revisar</v>
      </c>
      <c r="K448" s="13" t="str">
        <f t="shared" si="3"/>
        <v>Revisar</v>
      </c>
    </row>
    <row r="449">
      <c r="A449" s="8"/>
      <c r="B449" s="9"/>
      <c r="C449" s="10"/>
      <c r="D449" s="11"/>
      <c r="E449" s="11"/>
      <c r="F449" s="11" t="str">
        <f>IFERROR((VLOOKUP(B449, Roccia!$B$2:$D997, 3, FALSE)*(1+Datos!$E$1)), "Revisar")</f>
        <v>Revisar</v>
      </c>
      <c r="G449" s="11" t="str">
        <f>IFERROR(F449*Datos!$B$3, "Revisar")</f>
        <v>Revisar</v>
      </c>
      <c r="H449" s="12" t="str">
        <f>IFERROR(G449*Datos!$B$1, "Revisar")</f>
        <v>Revisar</v>
      </c>
      <c r="I449" s="13" t="str">
        <f>IFERROR((VLOOKUP(B449, Roccia!$B$2:$D997, 3, FALSE) /(1-Datos!$E$1)), "Revisar")</f>
        <v>Revisar</v>
      </c>
      <c r="J449" s="13" t="str">
        <f>IFERROR(I449*Datos!$B$3, "Revisar")</f>
        <v>Revisar</v>
      </c>
      <c r="K449" s="13" t="str">
        <f t="shared" si="3"/>
        <v>Revisar</v>
      </c>
    </row>
    <row r="450">
      <c r="A450" s="9"/>
      <c r="B450" s="9"/>
      <c r="C450" s="10"/>
      <c r="D450" s="11"/>
      <c r="E450" s="11"/>
      <c r="F450" s="11" t="str">
        <f>IFERROR((VLOOKUP(B450, Roccia!$B$2:$D997, 3, FALSE)*(1+Datos!$E$1)), "Revisar")</f>
        <v>Revisar</v>
      </c>
      <c r="G450" s="11" t="str">
        <f>IFERROR(F450*Datos!$B$3, "Revisar")</f>
        <v>Revisar</v>
      </c>
      <c r="H450" s="12" t="str">
        <f>IFERROR(G450*Datos!$B$1, "Revisar")</f>
        <v>Revisar</v>
      </c>
      <c r="I450" s="13" t="str">
        <f>IFERROR((VLOOKUP(B450, Roccia!$B$2:$D997, 3, FALSE) /(1-Datos!$E$1)), "Revisar")</f>
        <v>Revisar</v>
      </c>
      <c r="J450" s="13" t="str">
        <f>IFERROR(I450*Datos!$B$3, "Revisar")</f>
        <v>Revisar</v>
      </c>
      <c r="K450" s="13" t="str">
        <f t="shared" si="3"/>
        <v>Revisar</v>
      </c>
    </row>
    <row r="451">
      <c r="A451" s="9"/>
      <c r="B451" s="9"/>
      <c r="C451" s="10"/>
      <c r="D451" s="11"/>
      <c r="E451" s="11"/>
      <c r="F451" s="11" t="str">
        <f>IFERROR((VLOOKUP(B451, Roccia!$B$2:$D997, 3, FALSE)*(1+Datos!$E$1)), "Revisar")</f>
        <v>Revisar</v>
      </c>
      <c r="G451" s="11" t="str">
        <f>IFERROR(F451*Datos!$B$3, "Revisar")</f>
        <v>Revisar</v>
      </c>
      <c r="H451" s="12" t="str">
        <f>IFERROR(G451*Datos!$B$1, "Revisar")</f>
        <v>Revisar</v>
      </c>
      <c r="I451" s="13" t="str">
        <f>IFERROR((VLOOKUP(B451, Roccia!$B$2:$D997, 3, FALSE) /(1-Datos!$E$1)), "Revisar")</f>
        <v>Revisar</v>
      </c>
      <c r="J451" s="13" t="str">
        <f>IFERROR(I451*Datos!$B$3, "Revisar")</f>
        <v>Revisar</v>
      </c>
      <c r="K451" s="13" t="str">
        <f t="shared" si="3"/>
        <v>Revisar</v>
      </c>
    </row>
    <row r="452">
      <c r="A452" s="8"/>
      <c r="B452" s="9"/>
      <c r="C452" s="10"/>
      <c r="D452" s="11"/>
      <c r="E452" s="11"/>
      <c r="F452" s="11" t="str">
        <f>IFERROR((VLOOKUP(B452, Roccia!$B$2:$D997, 3, FALSE)*(1+Datos!$E$1)), "Revisar")</f>
        <v>Revisar</v>
      </c>
      <c r="G452" s="11" t="str">
        <f>IFERROR(F452*Datos!$B$3, "Revisar")</f>
        <v>Revisar</v>
      </c>
      <c r="H452" s="12" t="str">
        <f>IFERROR(G452*Datos!$B$1, "Revisar")</f>
        <v>Revisar</v>
      </c>
      <c r="I452" s="13" t="str">
        <f>IFERROR((VLOOKUP(B452, Roccia!$B$2:$D997, 3, FALSE) /(1-Datos!$E$1)), "Revisar")</f>
        <v>Revisar</v>
      </c>
      <c r="J452" s="13" t="str">
        <f>IFERROR(I452*Datos!$B$3, "Revisar")</f>
        <v>Revisar</v>
      </c>
      <c r="K452" s="13" t="str">
        <f t="shared" si="3"/>
        <v>Revisar</v>
      </c>
    </row>
    <row r="453">
      <c r="A453" s="8"/>
      <c r="B453" s="9"/>
      <c r="C453" s="10"/>
      <c r="D453" s="11"/>
      <c r="E453" s="11"/>
      <c r="F453" s="11" t="str">
        <f>IFERROR((VLOOKUP(B453, Roccia!$B$2:$D997, 3, FALSE)*(1+Datos!$E$1)), "Revisar")</f>
        <v>Revisar</v>
      </c>
      <c r="G453" s="11" t="str">
        <f>IFERROR(F453*Datos!$B$3, "Revisar")</f>
        <v>Revisar</v>
      </c>
      <c r="H453" s="12" t="str">
        <f>IFERROR(G453*Datos!$B$1, "Revisar")</f>
        <v>Revisar</v>
      </c>
      <c r="I453" s="13" t="str">
        <f>IFERROR((VLOOKUP(B453, Roccia!$B$2:$D997, 3, FALSE) /(1-Datos!$E$1)), "Revisar")</f>
        <v>Revisar</v>
      </c>
      <c r="J453" s="13" t="str">
        <f>IFERROR(I453*Datos!$B$3, "Revisar")</f>
        <v>Revisar</v>
      </c>
      <c r="K453" s="13" t="str">
        <f t="shared" si="3"/>
        <v>Revisar</v>
      </c>
    </row>
    <row r="454">
      <c r="A454" s="8"/>
      <c r="B454" s="9"/>
      <c r="C454" s="10"/>
      <c r="D454" s="11"/>
      <c r="E454" s="11"/>
      <c r="F454" s="11" t="str">
        <f>IFERROR((VLOOKUP(B454, Roccia!$B$2:$D997, 3, FALSE)*(1+Datos!$E$1)), "Revisar")</f>
        <v>Revisar</v>
      </c>
      <c r="G454" s="11" t="str">
        <f>IFERROR(F454*Datos!$B$3, "Revisar")</f>
        <v>Revisar</v>
      </c>
      <c r="H454" s="12" t="str">
        <f>IFERROR(G454*Datos!$B$1, "Revisar")</f>
        <v>Revisar</v>
      </c>
      <c r="I454" s="13" t="str">
        <f>IFERROR((VLOOKUP(B454, Roccia!$B$2:$D997, 3, FALSE) /(1-Datos!$E$1)), "Revisar")</f>
        <v>Revisar</v>
      </c>
      <c r="J454" s="13" t="str">
        <f>IFERROR(I454*Datos!$B$3, "Revisar")</f>
        <v>Revisar</v>
      </c>
      <c r="K454" s="13" t="str">
        <f t="shared" si="3"/>
        <v>Revisar</v>
      </c>
    </row>
    <row r="455">
      <c r="A455" s="8"/>
      <c r="B455" s="9"/>
      <c r="C455" s="10"/>
      <c r="D455" s="11"/>
      <c r="E455" s="11"/>
      <c r="F455" s="11" t="str">
        <f>IFERROR((VLOOKUP(B455, Roccia!$B$2:$D997, 3, FALSE)*(1+Datos!$E$1)), "Revisar")</f>
        <v>Revisar</v>
      </c>
      <c r="G455" s="11" t="str">
        <f>IFERROR(F455*Datos!$B$3, "Revisar")</f>
        <v>Revisar</v>
      </c>
      <c r="H455" s="12" t="str">
        <f>IFERROR(G455*Datos!$B$1, "Revisar")</f>
        <v>Revisar</v>
      </c>
      <c r="I455" s="13" t="str">
        <f>IFERROR((VLOOKUP(B455, Roccia!$B$2:$D997, 3, FALSE) /(1-Datos!$E$1)), "Revisar")</f>
        <v>Revisar</v>
      </c>
      <c r="J455" s="13" t="str">
        <f>IFERROR(I455*Datos!$B$3, "Revisar")</f>
        <v>Revisar</v>
      </c>
      <c r="K455" s="13" t="str">
        <f t="shared" si="3"/>
        <v>Revisar</v>
      </c>
    </row>
    <row r="456">
      <c r="A456" s="8"/>
      <c r="B456" s="9"/>
      <c r="C456" s="10"/>
      <c r="D456" s="11"/>
      <c r="E456" s="11"/>
      <c r="F456" s="11" t="str">
        <f>IFERROR((VLOOKUP(B456, Roccia!$B$2:$D997, 3, FALSE)*(1+Datos!$E$1)), "Revisar")</f>
        <v>Revisar</v>
      </c>
      <c r="G456" s="11" t="str">
        <f>IFERROR(F456*Datos!$B$3, "Revisar")</f>
        <v>Revisar</v>
      </c>
      <c r="H456" s="12" t="str">
        <f>IFERROR(G456*Datos!$B$1, "Revisar")</f>
        <v>Revisar</v>
      </c>
      <c r="I456" s="13" t="str">
        <f>IFERROR((VLOOKUP(B456, Roccia!$B$2:$D997, 3, FALSE) /(1-Datos!$E$1)), "Revisar")</f>
        <v>Revisar</v>
      </c>
      <c r="J456" s="13" t="str">
        <f>IFERROR(I456*Datos!$B$3, "Revisar")</f>
        <v>Revisar</v>
      </c>
      <c r="K456" s="13" t="str">
        <f t="shared" si="3"/>
        <v>Revisar</v>
      </c>
    </row>
    <row r="457">
      <c r="A457" s="8"/>
      <c r="B457" s="9"/>
      <c r="C457" s="10"/>
      <c r="D457" s="11"/>
      <c r="E457" s="11"/>
      <c r="F457" s="11" t="str">
        <f>IFERROR((VLOOKUP(B457, Roccia!$B$2:$D997, 3, FALSE)*(1+Datos!$E$1)), "Revisar")</f>
        <v>Revisar</v>
      </c>
      <c r="G457" s="11" t="str">
        <f>IFERROR(F457*Datos!$B$3, "Revisar")</f>
        <v>Revisar</v>
      </c>
      <c r="H457" s="12" t="str">
        <f>IFERROR(G457*Datos!$B$1, "Revisar")</f>
        <v>Revisar</v>
      </c>
      <c r="I457" s="13" t="str">
        <f>IFERROR((VLOOKUP(B457, Roccia!$B$2:$D997, 3, FALSE) /(1-Datos!$E$1)), "Revisar")</f>
        <v>Revisar</v>
      </c>
      <c r="J457" s="13" t="str">
        <f>IFERROR(I457*Datos!$B$3, "Revisar")</f>
        <v>Revisar</v>
      </c>
      <c r="K457" s="13" t="str">
        <f t="shared" si="3"/>
        <v>Revisar</v>
      </c>
    </row>
    <row r="458">
      <c r="A458" s="8"/>
      <c r="B458" s="9"/>
      <c r="C458" s="10"/>
      <c r="D458" s="11"/>
      <c r="E458" s="11"/>
      <c r="F458" s="11" t="str">
        <f>IFERROR((VLOOKUP(B458, Roccia!$B$2:$D997, 3, FALSE)*(1+Datos!$E$1)), "Revisar")</f>
        <v>Revisar</v>
      </c>
      <c r="G458" s="11" t="str">
        <f>IFERROR(F458*Datos!$B$3, "Revisar")</f>
        <v>Revisar</v>
      </c>
      <c r="H458" s="12" t="str">
        <f>IFERROR(G458*Datos!$B$1, "Revisar")</f>
        <v>Revisar</v>
      </c>
      <c r="I458" s="13" t="str">
        <f>IFERROR((VLOOKUP(B458, Roccia!$B$2:$D997, 3, FALSE) /(1-Datos!$E$1)), "Revisar")</f>
        <v>Revisar</v>
      </c>
      <c r="J458" s="13" t="str">
        <f>IFERROR(I458*Datos!$B$3, "Revisar")</f>
        <v>Revisar</v>
      </c>
      <c r="K458" s="13" t="str">
        <f t="shared" si="3"/>
        <v>Revisar</v>
      </c>
    </row>
    <row r="459">
      <c r="A459" s="8"/>
      <c r="B459" s="9"/>
      <c r="C459" s="10"/>
      <c r="D459" s="11"/>
      <c r="E459" s="11"/>
      <c r="F459" s="11" t="str">
        <f>IFERROR((VLOOKUP(B459, Roccia!$B$2:$D997, 3, FALSE)*(1+Datos!$E$1)), "Revisar")</f>
        <v>Revisar</v>
      </c>
      <c r="G459" s="11" t="str">
        <f>IFERROR(F459*Datos!$B$3, "Revisar")</f>
        <v>Revisar</v>
      </c>
      <c r="H459" s="12" t="str">
        <f>IFERROR(G459*Datos!$B$1, "Revisar")</f>
        <v>Revisar</v>
      </c>
      <c r="I459" s="13" t="str">
        <f>IFERROR((VLOOKUP(B459, Roccia!$B$2:$D997, 3, FALSE) /(1-Datos!$E$1)), "Revisar")</f>
        <v>Revisar</v>
      </c>
      <c r="J459" s="13" t="str">
        <f>IFERROR(I459*Datos!$B$3, "Revisar")</f>
        <v>Revisar</v>
      </c>
      <c r="K459" s="13" t="str">
        <f t="shared" si="3"/>
        <v>Revisar</v>
      </c>
    </row>
    <row r="460">
      <c r="A460" s="8"/>
      <c r="B460" s="9"/>
      <c r="C460" s="10"/>
      <c r="D460" s="11"/>
      <c r="E460" s="11"/>
      <c r="F460" s="11" t="str">
        <f>IFERROR((VLOOKUP(B460, Roccia!$B$2:$D997, 3, FALSE)*(1+Datos!$E$1)), "Revisar")</f>
        <v>Revisar</v>
      </c>
      <c r="G460" s="11" t="str">
        <f>IFERROR(F460*Datos!$B$3, "Revisar")</f>
        <v>Revisar</v>
      </c>
      <c r="H460" s="12" t="str">
        <f>IFERROR(G460*Datos!$B$1, "Revisar")</f>
        <v>Revisar</v>
      </c>
      <c r="I460" s="13" t="str">
        <f>IFERROR((VLOOKUP(B460, Roccia!$B$2:$D997, 3, FALSE) /(1-Datos!$E$1)), "Revisar")</f>
        <v>Revisar</v>
      </c>
      <c r="J460" s="13" t="str">
        <f>IFERROR(I460*Datos!$B$3, "Revisar")</f>
        <v>Revisar</v>
      </c>
      <c r="K460" s="13" t="str">
        <f t="shared" si="3"/>
        <v>Revisar</v>
      </c>
    </row>
    <row r="461">
      <c r="A461" s="8"/>
      <c r="B461" s="9"/>
      <c r="C461" s="10"/>
      <c r="D461" s="11"/>
      <c r="E461" s="11"/>
      <c r="F461" s="11" t="str">
        <f>IFERROR((VLOOKUP(B461, Roccia!$B$2:$D997, 3, FALSE)*(1+Datos!$E$1)), "Revisar")</f>
        <v>Revisar</v>
      </c>
      <c r="G461" s="11" t="str">
        <f>IFERROR(F461*Datos!$B$3, "Revisar")</f>
        <v>Revisar</v>
      </c>
      <c r="H461" s="12" t="str">
        <f>IFERROR(G461*Datos!$B$1, "Revisar")</f>
        <v>Revisar</v>
      </c>
      <c r="I461" s="13" t="str">
        <f>IFERROR((VLOOKUP(B461, Roccia!$B$2:$D997, 3, FALSE) /(1-Datos!$E$1)), "Revisar")</f>
        <v>Revisar</v>
      </c>
      <c r="J461" s="13" t="str">
        <f>IFERROR(I461*Datos!$B$3, "Revisar")</f>
        <v>Revisar</v>
      </c>
      <c r="K461" s="13" t="str">
        <f t="shared" si="3"/>
        <v>Revisar</v>
      </c>
    </row>
    <row r="462">
      <c r="A462" s="8"/>
      <c r="B462" s="9"/>
      <c r="C462" s="10"/>
      <c r="D462" s="11"/>
      <c r="E462" s="11"/>
      <c r="F462" s="11" t="str">
        <f>IFERROR((VLOOKUP(B462, Roccia!$B$2:$D997, 3, FALSE)*(1+Datos!$E$1)), "Revisar")</f>
        <v>Revisar</v>
      </c>
      <c r="G462" s="11" t="str">
        <f>IFERROR(F462*Datos!$B$3, "Revisar")</f>
        <v>Revisar</v>
      </c>
      <c r="H462" s="12" t="str">
        <f>IFERROR(G462*Datos!$B$1, "Revisar")</f>
        <v>Revisar</v>
      </c>
      <c r="I462" s="13" t="str">
        <f>IFERROR((VLOOKUP(B462, Roccia!$B$2:$D997, 3, FALSE) /(1-Datos!$E$1)), "Revisar")</f>
        <v>Revisar</v>
      </c>
      <c r="J462" s="13" t="str">
        <f>IFERROR(I462*Datos!$B$3, "Revisar")</f>
        <v>Revisar</v>
      </c>
      <c r="K462" s="13" t="str">
        <f t="shared" si="3"/>
        <v>Revisar</v>
      </c>
    </row>
    <row r="463">
      <c r="A463" s="8"/>
      <c r="B463" s="9"/>
      <c r="C463" s="10"/>
      <c r="D463" s="11"/>
      <c r="E463" s="11"/>
      <c r="F463" s="11" t="str">
        <f>IFERROR((VLOOKUP(B463, Roccia!$B$2:$D997, 3, FALSE)*(1+Datos!$E$1)), "Revisar")</f>
        <v>Revisar</v>
      </c>
      <c r="G463" s="11" t="str">
        <f>IFERROR(F463*Datos!$B$3, "Revisar")</f>
        <v>Revisar</v>
      </c>
      <c r="H463" s="12" t="str">
        <f>IFERROR(G463*Datos!$B$1, "Revisar")</f>
        <v>Revisar</v>
      </c>
      <c r="I463" s="13" t="str">
        <f>IFERROR((VLOOKUP(B463, Roccia!$B$2:$D997, 3, FALSE) /(1-Datos!$E$1)), "Revisar")</f>
        <v>Revisar</v>
      </c>
      <c r="J463" s="13" t="str">
        <f>IFERROR(I463*Datos!$B$3, "Revisar")</f>
        <v>Revisar</v>
      </c>
      <c r="K463" s="13" t="str">
        <f t="shared" si="3"/>
        <v>Revisar</v>
      </c>
    </row>
    <row r="464">
      <c r="A464" s="8"/>
      <c r="B464" s="9"/>
      <c r="C464" s="10"/>
      <c r="D464" s="11"/>
      <c r="E464" s="11"/>
      <c r="F464" s="11" t="str">
        <f>IFERROR((VLOOKUP(B464, Roccia!$B$2:$D997, 3, FALSE)*(1+Datos!$E$1)), "Revisar")</f>
        <v>Revisar</v>
      </c>
      <c r="G464" s="11" t="str">
        <f>IFERROR(F464*Datos!$B$3, "Revisar")</f>
        <v>Revisar</v>
      </c>
      <c r="H464" s="12" t="str">
        <f>IFERROR(G464*Datos!$B$1, "Revisar")</f>
        <v>Revisar</v>
      </c>
      <c r="I464" s="13" t="str">
        <f>IFERROR((VLOOKUP(B464, Roccia!$B$2:$D997, 3, FALSE) /(1-Datos!$E$1)), "Revisar")</f>
        <v>Revisar</v>
      </c>
      <c r="J464" s="13" t="str">
        <f>IFERROR(I464*Datos!$B$3, "Revisar")</f>
        <v>Revisar</v>
      </c>
      <c r="K464" s="13" t="str">
        <f t="shared" si="3"/>
        <v>Revisar</v>
      </c>
    </row>
    <row r="465">
      <c r="A465" s="8"/>
      <c r="B465" s="9"/>
      <c r="C465" s="10"/>
      <c r="D465" s="11"/>
      <c r="E465" s="11"/>
      <c r="F465" s="11" t="str">
        <f>IFERROR((VLOOKUP(B465, Roccia!$B$2:$D997, 3, FALSE)*(1+Datos!$E$1)), "Revisar")</f>
        <v>Revisar</v>
      </c>
      <c r="G465" s="11" t="str">
        <f>IFERROR(F465*Datos!$B$3, "Revisar")</f>
        <v>Revisar</v>
      </c>
      <c r="H465" s="12" t="str">
        <f>IFERROR(G465*Datos!$B$1, "Revisar")</f>
        <v>Revisar</v>
      </c>
      <c r="I465" s="13" t="str">
        <f>IFERROR((VLOOKUP(B465, Roccia!$B$2:$D997, 3, FALSE) /(1-Datos!$E$1)), "Revisar")</f>
        <v>Revisar</v>
      </c>
      <c r="J465" s="13" t="str">
        <f>IFERROR(I465*Datos!$B$3, "Revisar")</f>
        <v>Revisar</v>
      </c>
      <c r="K465" s="13" t="str">
        <f t="shared" si="3"/>
        <v>Revisar</v>
      </c>
    </row>
    <row r="466">
      <c r="A466" s="8"/>
      <c r="B466" s="9"/>
      <c r="C466" s="10"/>
      <c r="D466" s="11"/>
      <c r="E466" s="11"/>
      <c r="F466" s="11" t="str">
        <f>IFERROR((VLOOKUP(B466, Roccia!$B$2:$D997, 3, FALSE)*(1+Datos!$E$1)), "Revisar")</f>
        <v>Revisar</v>
      </c>
      <c r="G466" s="11" t="str">
        <f>IFERROR(F466*Datos!$B$3, "Revisar")</f>
        <v>Revisar</v>
      </c>
      <c r="H466" s="12" t="str">
        <f>IFERROR(G466*Datos!$B$1, "Revisar")</f>
        <v>Revisar</v>
      </c>
      <c r="I466" s="13" t="str">
        <f>IFERROR((VLOOKUP(B466, Roccia!$B$2:$D997, 3, FALSE) /(1-Datos!$E$1)), "Revisar")</f>
        <v>Revisar</v>
      </c>
      <c r="J466" s="13" t="str">
        <f>IFERROR(I466*Datos!$B$3, "Revisar")</f>
        <v>Revisar</v>
      </c>
      <c r="K466" s="13" t="str">
        <f t="shared" si="3"/>
        <v>Revisar</v>
      </c>
    </row>
    <row r="467">
      <c r="A467" s="8"/>
      <c r="B467" s="9"/>
      <c r="C467" s="10"/>
      <c r="D467" s="11"/>
      <c r="E467" s="11"/>
      <c r="F467" s="11" t="str">
        <f>IFERROR((VLOOKUP(B467, Roccia!$B$2:$D997, 3, FALSE)*(1+Datos!$E$1)), "Revisar")</f>
        <v>Revisar</v>
      </c>
      <c r="G467" s="11" t="str">
        <f>IFERROR(F467*Datos!$B$3, "Revisar")</f>
        <v>Revisar</v>
      </c>
      <c r="H467" s="12" t="str">
        <f>IFERROR(G467*Datos!$B$1, "Revisar")</f>
        <v>Revisar</v>
      </c>
      <c r="I467" s="13" t="str">
        <f>IFERROR((VLOOKUP(B467, Roccia!$B$2:$D997, 3, FALSE) /(1-Datos!$E$1)), "Revisar")</f>
        <v>Revisar</v>
      </c>
      <c r="J467" s="13" t="str">
        <f>IFERROR(I467*Datos!$B$3, "Revisar")</f>
        <v>Revisar</v>
      </c>
      <c r="K467" s="13" t="str">
        <f t="shared" si="3"/>
        <v>Revisar</v>
      </c>
    </row>
    <row r="468">
      <c r="A468" s="8"/>
      <c r="B468" s="9"/>
      <c r="C468" s="10"/>
      <c r="D468" s="11"/>
      <c r="E468" s="11"/>
      <c r="F468" s="11" t="str">
        <f>IFERROR((VLOOKUP(B468, Roccia!$B$2:$D997, 3, FALSE)*(1+Datos!$E$1)), "Revisar")</f>
        <v>Revisar</v>
      </c>
      <c r="G468" s="11" t="str">
        <f>IFERROR(F468*Datos!$B$3, "Revisar")</f>
        <v>Revisar</v>
      </c>
      <c r="H468" s="12" t="str">
        <f>IFERROR(G468*Datos!$B$1, "Revisar")</f>
        <v>Revisar</v>
      </c>
      <c r="I468" s="13" t="str">
        <f>IFERROR((VLOOKUP(B468, Roccia!$B$2:$D997, 3, FALSE) /(1-Datos!$E$1)), "Revisar")</f>
        <v>Revisar</v>
      </c>
      <c r="J468" s="13" t="str">
        <f>IFERROR(I468*Datos!$B$3, "Revisar")</f>
        <v>Revisar</v>
      </c>
      <c r="K468" s="13" t="str">
        <f t="shared" si="3"/>
        <v>Revisar</v>
      </c>
    </row>
    <row r="469">
      <c r="A469" s="8"/>
      <c r="B469" s="9"/>
      <c r="C469" s="10"/>
      <c r="D469" s="11"/>
      <c r="E469" s="11"/>
      <c r="F469" s="11" t="str">
        <f>IFERROR((VLOOKUP(B469, Roccia!$B$2:$D997, 3, FALSE)*(1+Datos!$E$1)), "Revisar")</f>
        <v>Revisar</v>
      </c>
      <c r="G469" s="11" t="str">
        <f>IFERROR(F469*Datos!$B$3, "Revisar")</f>
        <v>Revisar</v>
      </c>
      <c r="H469" s="12" t="str">
        <f>IFERROR(G469*Datos!$B$1, "Revisar")</f>
        <v>Revisar</v>
      </c>
      <c r="I469" s="13" t="str">
        <f>IFERROR((VLOOKUP(B469, Roccia!$B$2:$D997, 3, FALSE) /(1-Datos!$E$1)), "Revisar")</f>
        <v>Revisar</v>
      </c>
      <c r="J469" s="13" t="str">
        <f>IFERROR(I469*Datos!$B$3, "Revisar")</f>
        <v>Revisar</v>
      </c>
      <c r="K469" s="13" t="str">
        <f t="shared" si="3"/>
        <v>Revisar</v>
      </c>
    </row>
    <row r="470">
      <c r="A470" s="8"/>
      <c r="B470" s="9"/>
      <c r="C470" s="10"/>
      <c r="D470" s="11"/>
      <c r="E470" s="11"/>
      <c r="F470" s="11" t="str">
        <f>IFERROR((VLOOKUP(B470, Roccia!$B$2:$D997, 3, FALSE)*(1+Datos!$E$1)), "Revisar")</f>
        <v>Revisar</v>
      </c>
      <c r="G470" s="11" t="str">
        <f>IFERROR(F470*Datos!$B$3, "Revisar")</f>
        <v>Revisar</v>
      </c>
      <c r="H470" s="12" t="str">
        <f>IFERROR(G470*Datos!$B$1, "Revisar")</f>
        <v>Revisar</v>
      </c>
      <c r="I470" s="13" t="str">
        <f>IFERROR((VLOOKUP(B470, Roccia!$B$2:$D997, 3, FALSE) /(1-Datos!$E$1)), "Revisar")</f>
        <v>Revisar</v>
      </c>
      <c r="J470" s="13" t="str">
        <f>IFERROR(I470*Datos!$B$3, "Revisar")</f>
        <v>Revisar</v>
      </c>
      <c r="K470" s="13" t="str">
        <f t="shared" si="3"/>
        <v>Revisar</v>
      </c>
    </row>
    <row r="471">
      <c r="A471" s="8"/>
      <c r="B471" s="9"/>
      <c r="C471" s="10"/>
      <c r="D471" s="11"/>
      <c r="E471" s="11"/>
      <c r="F471" s="11" t="str">
        <f>IFERROR((VLOOKUP(B471, Roccia!$B$2:$D997, 3, FALSE)*(1+Datos!$E$1)), "Revisar")</f>
        <v>Revisar</v>
      </c>
      <c r="G471" s="11" t="str">
        <f>IFERROR(F471*Datos!$B$3, "Revisar")</f>
        <v>Revisar</v>
      </c>
      <c r="H471" s="12" t="str">
        <f>IFERROR(G471*Datos!$B$1, "Revisar")</f>
        <v>Revisar</v>
      </c>
      <c r="I471" s="13" t="str">
        <f>IFERROR((VLOOKUP(B471, Roccia!$B$2:$D997, 3, FALSE) /(1-Datos!$E$1)), "Revisar")</f>
        <v>Revisar</v>
      </c>
      <c r="J471" s="13" t="str">
        <f>IFERROR(I471*Datos!$B$3, "Revisar")</f>
        <v>Revisar</v>
      </c>
      <c r="K471" s="13" t="str">
        <f t="shared" si="3"/>
        <v>Revisar</v>
      </c>
    </row>
    <row r="472">
      <c r="A472" s="8"/>
      <c r="B472" s="9"/>
      <c r="C472" s="10"/>
      <c r="D472" s="11"/>
      <c r="E472" s="11"/>
      <c r="F472" s="11" t="str">
        <f>IFERROR((VLOOKUP(B472, Roccia!$B$2:$D997, 3, FALSE)*(1+Datos!$E$1)), "Revisar")</f>
        <v>Revisar</v>
      </c>
      <c r="G472" s="11" t="str">
        <f>IFERROR(F472*Datos!$B$3, "Revisar")</f>
        <v>Revisar</v>
      </c>
      <c r="H472" s="12" t="str">
        <f>IFERROR(G472*Datos!$B$1, "Revisar")</f>
        <v>Revisar</v>
      </c>
      <c r="I472" s="13" t="str">
        <f>IFERROR((VLOOKUP(B472, Roccia!$B$2:$D997, 3, FALSE) /(1-Datos!$E$1)), "Revisar")</f>
        <v>Revisar</v>
      </c>
      <c r="J472" s="13" t="str">
        <f>IFERROR(I472*Datos!$B$3, "Revisar")</f>
        <v>Revisar</v>
      </c>
      <c r="K472" s="13" t="str">
        <f t="shared" si="3"/>
        <v>Revisar</v>
      </c>
    </row>
    <row r="473">
      <c r="A473" s="8"/>
      <c r="B473" s="9"/>
      <c r="C473" s="10"/>
      <c r="D473" s="11"/>
      <c r="E473" s="11"/>
      <c r="F473" s="11" t="str">
        <f>IFERROR((VLOOKUP(B473, Roccia!$B$2:$D997, 3, FALSE)*(1+Datos!$E$1)), "Revisar")</f>
        <v>Revisar</v>
      </c>
      <c r="G473" s="11" t="str">
        <f>IFERROR(F473*Datos!$B$3, "Revisar")</f>
        <v>Revisar</v>
      </c>
      <c r="H473" s="12" t="str">
        <f>IFERROR(G473*Datos!$B$1, "Revisar")</f>
        <v>Revisar</v>
      </c>
      <c r="I473" s="13" t="str">
        <f>IFERROR((VLOOKUP(B473, Roccia!$B$2:$D997, 3, FALSE) /(1-Datos!$E$1)), "Revisar")</f>
        <v>Revisar</v>
      </c>
      <c r="J473" s="13" t="str">
        <f>IFERROR(I473*Datos!$B$3, "Revisar")</f>
        <v>Revisar</v>
      </c>
      <c r="K473" s="13" t="str">
        <f t="shared" si="3"/>
        <v>Revisar</v>
      </c>
    </row>
    <row r="474">
      <c r="A474" s="8"/>
      <c r="B474" s="9"/>
      <c r="C474" s="10"/>
      <c r="D474" s="11"/>
      <c r="E474" s="11"/>
      <c r="F474" s="11" t="str">
        <f>IFERROR((VLOOKUP(B474, Roccia!$B$2:$D997, 3, FALSE)*(1+Datos!$E$1)), "Revisar")</f>
        <v>Revisar</v>
      </c>
      <c r="G474" s="11" t="str">
        <f>IFERROR(F474*Datos!$B$3, "Revisar")</f>
        <v>Revisar</v>
      </c>
      <c r="H474" s="12" t="str">
        <f>IFERROR(G474*Datos!$B$1, "Revisar")</f>
        <v>Revisar</v>
      </c>
      <c r="I474" s="13" t="str">
        <f>IFERROR((VLOOKUP(B474, Roccia!$B$2:$D997, 3, FALSE) /(1-Datos!$E$1)), "Revisar")</f>
        <v>Revisar</v>
      </c>
      <c r="J474" s="13" t="str">
        <f>IFERROR(I474*Datos!$B$3, "Revisar")</f>
        <v>Revisar</v>
      </c>
      <c r="K474" s="13" t="str">
        <f t="shared" si="3"/>
        <v>Revisar</v>
      </c>
    </row>
    <row r="475">
      <c r="A475" s="8"/>
      <c r="B475" s="9"/>
      <c r="C475" s="10"/>
      <c r="D475" s="11"/>
      <c r="E475" s="11"/>
      <c r="F475" s="11" t="str">
        <f>IFERROR((VLOOKUP(B475, Roccia!$B$2:$D997, 3, FALSE)*(1+Datos!$E$1)), "Revisar")</f>
        <v>Revisar</v>
      </c>
      <c r="G475" s="11" t="str">
        <f>IFERROR(F475*Datos!$B$3, "Revisar")</f>
        <v>Revisar</v>
      </c>
      <c r="H475" s="12" t="str">
        <f>IFERROR(G475*Datos!$B$1, "Revisar")</f>
        <v>Revisar</v>
      </c>
      <c r="I475" s="13" t="str">
        <f>IFERROR((VLOOKUP(B475, Roccia!$B$2:$D997, 3, FALSE) /(1-Datos!$E$1)), "Revisar")</f>
        <v>Revisar</v>
      </c>
      <c r="J475" s="13" t="str">
        <f>IFERROR(I475*Datos!$B$3, "Revisar")</f>
        <v>Revisar</v>
      </c>
      <c r="K475" s="13" t="str">
        <f t="shared" si="3"/>
        <v>Revisar</v>
      </c>
    </row>
    <row r="476">
      <c r="A476" s="8"/>
      <c r="B476" s="9"/>
      <c r="C476" s="10"/>
      <c r="D476" s="11"/>
      <c r="E476" s="11"/>
      <c r="F476" s="11" t="str">
        <f>IFERROR((VLOOKUP(B476, Roccia!$B$2:$D997, 3, FALSE)*(1+Datos!$E$1)), "Revisar")</f>
        <v>Revisar</v>
      </c>
      <c r="G476" s="11" t="str">
        <f>IFERROR(F476*Datos!$B$3, "Revisar")</f>
        <v>Revisar</v>
      </c>
      <c r="H476" s="12" t="str">
        <f>IFERROR(G476*Datos!$B$1, "Revisar")</f>
        <v>Revisar</v>
      </c>
      <c r="I476" s="13" t="str">
        <f>IFERROR((VLOOKUP(B476, Roccia!$B$2:$D997, 3, FALSE) /(1-Datos!$E$1)), "Revisar")</f>
        <v>Revisar</v>
      </c>
      <c r="J476" s="13" t="str">
        <f>IFERROR(I476*Datos!$B$3, "Revisar")</f>
        <v>Revisar</v>
      </c>
      <c r="K476" s="13" t="str">
        <f t="shared" si="3"/>
        <v>Revisar</v>
      </c>
    </row>
    <row r="477">
      <c r="A477" s="8"/>
      <c r="B477" s="9"/>
      <c r="C477" s="10"/>
      <c r="D477" s="11"/>
      <c r="E477" s="11"/>
      <c r="F477" s="11" t="str">
        <f>IFERROR((VLOOKUP(B477, Roccia!$B$2:$D997, 3, FALSE)*(1+Datos!$E$1)), "Revisar")</f>
        <v>Revisar</v>
      </c>
      <c r="G477" s="11" t="str">
        <f>IFERROR(F477*Datos!$B$3, "Revisar")</f>
        <v>Revisar</v>
      </c>
      <c r="H477" s="12" t="str">
        <f>IFERROR(G477*Datos!$B$1, "Revisar")</f>
        <v>Revisar</v>
      </c>
      <c r="I477" s="13" t="str">
        <f>IFERROR((VLOOKUP(B477, Roccia!$B$2:$D997, 3, FALSE) /(1-Datos!$E$1)), "Revisar")</f>
        <v>Revisar</v>
      </c>
      <c r="J477" s="13" t="str">
        <f>IFERROR(I477*Datos!$B$3, "Revisar")</f>
        <v>Revisar</v>
      </c>
      <c r="K477" s="13" t="str">
        <f t="shared" si="3"/>
        <v>Revisar</v>
      </c>
    </row>
    <row r="478">
      <c r="A478" s="8"/>
      <c r="B478" s="9"/>
      <c r="C478" s="10"/>
      <c r="D478" s="11"/>
      <c r="E478" s="11"/>
      <c r="F478" s="11" t="str">
        <f>IFERROR((VLOOKUP(B478, Roccia!$B$2:$D997, 3, FALSE)*(1+Datos!$E$1)), "Revisar")</f>
        <v>Revisar</v>
      </c>
      <c r="G478" s="11" t="str">
        <f>IFERROR(F478*Datos!$B$3, "Revisar")</f>
        <v>Revisar</v>
      </c>
      <c r="H478" s="12" t="str">
        <f>IFERROR(G478*Datos!$B$1, "Revisar")</f>
        <v>Revisar</v>
      </c>
      <c r="I478" s="13" t="str">
        <f>IFERROR((VLOOKUP(B478, Roccia!$B$2:$D997, 3, FALSE) /(1-Datos!$E$1)), "Revisar")</f>
        <v>Revisar</v>
      </c>
      <c r="J478" s="13" t="str">
        <f>IFERROR(I478*Datos!$B$3, "Revisar")</f>
        <v>Revisar</v>
      </c>
      <c r="K478" s="13" t="str">
        <f t="shared" si="3"/>
        <v>Revisar</v>
      </c>
    </row>
    <row r="479">
      <c r="A479" s="8"/>
      <c r="B479" s="9"/>
      <c r="C479" s="10"/>
      <c r="D479" s="11"/>
      <c r="E479" s="11"/>
      <c r="F479" s="11" t="str">
        <f>IFERROR((VLOOKUP(B479, Roccia!$B$2:$D997, 3, FALSE)*(1+Datos!$E$1)), "Revisar")</f>
        <v>Revisar</v>
      </c>
      <c r="G479" s="11" t="str">
        <f>IFERROR(F479*Datos!$B$3, "Revisar")</f>
        <v>Revisar</v>
      </c>
      <c r="H479" s="12" t="str">
        <f>IFERROR(G479*Datos!$B$1, "Revisar")</f>
        <v>Revisar</v>
      </c>
      <c r="I479" s="13" t="str">
        <f>IFERROR((VLOOKUP(B479, Roccia!$B$2:$D997, 3, FALSE) /(1-Datos!$E$1)), "Revisar")</f>
        <v>Revisar</v>
      </c>
      <c r="J479" s="13" t="str">
        <f>IFERROR(I479*Datos!$B$3, "Revisar")</f>
        <v>Revisar</v>
      </c>
      <c r="K479" s="13" t="str">
        <f t="shared" si="3"/>
        <v>Revisar</v>
      </c>
    </row>
    <row r="480">
      <c r="A480" s="8"/>
      <c r="B480" s="9"/>
      <c r="C480" s="10"/>
      <c r="D480" s="11"/>
      <c r="E480" s="11"/>
      <c r="F480" s="11" t="str">
        <f>IFERROR((VLOOKUP(B480, Roccia!$B$2:$D997, 3, FALSE)*(1+Datos!$E$1)), "Revisar")</f>
        <v>Revisar</v>
      </c>
      <c r="G480" s="11" t="str">
        <f>IFERROR(F480*Datos!$B$3, "Revisar")</f>
        <v>Revisar</v>
      </c>
      <c r="H480" s="12" t="str">
        <f>IFERROR(G480*Datos!$B$1, "Revisar")</f>
        <v>Revisar</v>
      </c>
      <c r="I480" s="13" t="str">
        <f>IFERROR((VLOOKUP(B480, Roccia!$B$2:$D997, 3, FALSE) /(1-Datos!$E$1)), "Revisar")</f>
        <v>Revisar</v>
      </c>
      <c r="J480" s="13" t="str">
        <f>IFERROR(I480*Datos!$B$3, "Revisar")</f>
        <v>Revisar</v>
      </c>
      <c r="K480" s="13" t="str">
        <f t="shared" si="3"/>
        <v>Revisar</v>
      </c>
    </row>
    <row r="481">
      <c r="A481" s="8"/>
      <c r="B481" s="9"/>
      <c r="C481" s="10"/>
      <c r="D481" s="11"/>
      <c r="E481" s="11"/>
      <c r="F481" s="11" t="str">
        <f>IFERROR((VLOOKUP(B481, Roccia!$B$2:$D997, 3, FALSE)*(1+Datos!$E$1)), "Revisar")</f>
        <v>Revisar</v>
      </c>
      <c r="G481" s="11" t="str">
        <f>IFERROR(F481*Datos!$B$3, "Revisar")</f>
        <v>Revisar</v>
      </c>
      <c r="H481" s="12" t="str">
        <f>IFERROR(G481*Datos!$B$1, "Revisar")</f>
        <v>Revisar</v>
      </c>
      <c r="I481" s="13" t="str">
        <f>IFERROR((VLOOKUP(B481, Roccia!$B$2:$D997, 3, FALSE) /(1-Datos!$E$1)), "Revisar")</f>
        <v>Revisar</v>
      </c>
      <c r="J481" s="13" t="str">
        <f>IFERROR(I481*Datos!$B$3, "Revisar")</f>
        <v>Revisar</v>
      </c>
      <c r="K481" s="13" t="str">
        <f t="shared" si="3"/>
        <v>Revisar</v>
      </c>
    </row>
    <row r="482">
      <c r="A482" s="8"/>
      <c r="B482" s="9"/>
      <c r="C482" s="10"/>
      <c r="D482" s="11"/>
      <c r="E482" s="11"/>
      <c r="F482" s="11" t="str">
        <f>IFERROR((VLOOKUP(B482, Roccia!$B$2:$D997, 3, FALSE)*(1+Datos!$E$1)), "Revisar")</f>
        <v>Revisar</v>
      </c>
      <c r="G482" s="11" t="str">
        <f>IFERROR(F482*Datos!$B$3, "Revisar")</f>
        <v>Revisar</v>
      </c>
      <c r="H482" s="12" t="str">
        <f>IFERROR(G482*Datos!$B$1, "Revisar")</f>
        <v>Revisar</v>
      </c>
      <c r="I482" s="13" t="str">
        <f>IFERROR((VLOOKUP(B482, Roccia!$B$2:$D997, 3, FALSE) /(1-Datos!$E$1)), "Revisar")</f>
        <v>Revisar</v>
      </c>
      <c r="J482" s="13" t="str">
        <f>IFERROR(I482*Datos!$B$3, "Revisar")</f>
        <v>Revisar</v>
      </c>
      <c r="K482" s="13" t="str">
        <f t="shared" si="3"/>
        <v>Revisar</v>
      </c>
    </row>
    <row r="483">
      <c r="A483" s="8"/>
      <c r="B483" s="9"/>
      <c r="C483" s="10"/>
      <c r="D483" s="11"/>
      <c r="E483" s="11"/>
      <c r="F483" s="11" t="str">
        <f>IFERROR((VLOOKUP(B483, Roccia!$B$2:$D997, 3, FALSE)*(1+Datos!$E$1)), "Revisar")</f>
        <v>Revisar</v>
      </c>
      <c r="G483" s="11" t="str">
        <f>IFERROR(F483*Datos!$B$3, "Revisar")</f>
        <v>Revisar</v>
      </c>
      <c r="H483" s="12" t="str">
        <f>IFERROR(G483*Datos!$B$1, "Revisar")</f>
        <v>Revisar</v>
      </c>
      <c r="I483" s="13" t="str">
        <f>IFERROR((VLOOKUP(B483, Roccia!$B$2:$D997, 3, FALSE) /(1-Datos!$E$1)), "Revisar")</f>
        <v>Revisar</v>
      </c>
      <c r="J483" s="13" t="str">
        <f>IFERROR(I483*Datos!$B$3, "Revisar")</f>
        <v>Revisar</v>
      </c>
      <c r="K483" s="13" t="str">
        <f t="shared" si="3"/>
        <v>Revisar</v>
      </c>
    </row>
    <row r="484">
      <c r="A484" s="8"/>
      <c r="B484" s="9"/>
      <c r="C484" s="10"/>
      <c r="D484" s="11"/>
      <c r="E484" s="11"/>
      <c r="F484" s="11" t="str">
        <f>IFERROR((VLOOKUP(B484, Roccia!$B$2:$D997, 3, FALSE)*(1+Datos!$E$1)), "Revisar")</f>
        <v>Revisar</v>
      </c>
      <c r="G484" s="11" t="str">
        <f>IFERROR(F484*Datos!$B$3, "Revisar")</f>
        <v>Revisar</v>
      </c>
      <c r="H484" s="12" t="str">
        <f>IFERROR(G484*Datos!$B$1, "Revisar")</f>
        <v>Revisar</v>
      </c>
      <c r="I484" s="13" t="str">
        <f>IFERROR((VLOOKUP(B484, Roccia!$B$2:$D997, 3, FALSE) /(1-Datos!$E$1)), "Revisar")</f>
        <v>Revisar</v>
      </c>
      <c r="J484" s="13" t="str">
        <f>IFERROR(I484*Datos!$B$3, "Revisar")</f>
        <v>Revisar</v>
      </c>
      <c r="K484" s="13" t="str">
        <f t="shared" si="3"/>
        <v>Revisar</v>
      </c>
    </row>
    <row r="485">
      <c r="A485" s="8"/>
      <c r="B485" s="9"/>
      <c r="C485" s="10"/>
      <c r="D485" s="11"/>
      <c r="E485" s="11"/>
      <c r="F485" s="11" t="str">
        <f>IFERROR((VLOOKUP(B485, Roccia!$B$2:$D997, 3, FALSE)*(1+Datos!$E$1)), "Revisar")</f>
        <v>Revisar</v>
      </c>
      <c r="G485" s="11" t="str">
        <f>IFERROR(F485*Datos!$B$3, "Revisar")</f>
        <v>Revisar</v>
      </c>
      <c r="H485" s="12" t="str">
        <f>IFERROR(G485*Datos!$B$1, "Revisar")</f>
        <v>Revisar</v>
      </c>
      <c r="I485" s="13" t="str">
        <f>IFERROR((VLOOKUP(B485, Roccia!$B$2:$D997, 3, FALSE) /(1-Datos!$E$1)), "Revisar")</f>
        <v>Revisar</v>
      </c>
      <c r="J485" s="13" t="str">
        <f>IFERROR(I485*Datos!$B$3, "Revisar")</f>
        <v>Revisar</v>
      </c>
      <c r="K485" s="13" t="str">
        <f t="shared" si="3"/>
        <v>Revisar</v>
      </c>
    </row>
    <row r="486">
      <c r="A486" s="8"/>
      <c r="B486" s="9"/>
      <c r="C486" s="10"/>
      <c r="D486" s="11"/>
      <c r="E486" s="11"/>
      <c r="F486" s="11" t="str">
        <f>IFERROR((VLOOKUP(B486, Roccia!$B$2:$D997, 3, FALSE)*(1+Datos!$E$1)), "Revisar")</f>
        <v>Revisar</v>
      </c>
      <c r="G486" s="11" t="str">
        <f>IFERROR(F486*Datos!$B$3, "Revisar")</f>
        <v>Revisar</v>
      </c>
      <c r="H486" s="12" t="str">
        <f>IFERROR(G486*Datos!$B$1, "Revisar")</f>
        <v>Revisar</v>
      </c>
      <c r="I486" s="13" t="str">
        <f>IFERROR((VLOOKUP(B486, Roccia!$B$2:$D997, 3, FALSE) /(1-Datos!$E$1)), "Revisar")</f>
        <v>Revisar</v>
      </c>
      <c r="J486" s="13" t="str">
        <f>IFERROR(I486*Datos!$B$3, "Revisar")</f>
        <v>Revisar</v>
      </c>
      <c r="K486" s="13" t="str">
        <f t="shared" si="3"/>
        <v>Revisar</v>
      </c>
    </row>
    <row r="487">
      <c r="A487" s="8"/>
      <c r="B487" s="9"/>
      <c r="C487" s="10"/>
      <c r="D487" s="11"/>
      <c r="E487" s="11"/>
      <c r="F487" s="11" t="str">
        <f>IFERROR((VLOOKUP(B487, Roccia!$B$2:$D997, 3, FALSE)*(1+Datos!$E$1)), "Revisar")</f>
        <v>Revisar</v>
      </c>
      <c r="G487" s="11" t="str">
        <f>IFERROR(F487*Datos!$B$3, "Revisar")</f>
        <v>Revisar</v>
      </c>
      <c r="H487" s="12" t="str">
        <f>IFERROR(G487*Datos!$B$1, "Revisar")</f>
        <v>Revisar</v>
      </c>
      <c r="I487" s="13" t="str">
        <f>IFERROR((VLOOKUP(B487, Roccia!$B$2:$D997, 3, FALSE) /(1-Datos!$E$1)), "Revisar")</f>
        <v>Revisar</v>
      </c>
      <c r="J487" s="13" t="str">
        <f>IFERROR(I487*Datos!$B$3, "Revisar")</f>
        <v>Revisar</v>
      </c>
      <c r="K487" s="13" t="str">
        <f t="shared" si="3"/>
        <v>Revisar</v>
      </c>
    </row>
    <row r="488">
      <c r="A488" s="8"/>
      <c r="B488" s="9"/>
      <c r="C488" s="10"/>
      <c r="D488" s="11"/>
      <c r="E488" s="11"/>
      <c r="F488" s="11" t="str">
        <f>IFERROR((VLOOKUP(B488, Roccia!$B$2:$D997, 3, FALSE)*(1+Datos!$E$1)), "Revisar")</f>
        <v>Revisar</v>
      </c>
      <c r="G488" s="11" t="str">
        <f>IFERROR(F488*Datos!$B$3, "Revisar")</f>
        <v>Revisar</v>
      </c>
      <c r="H488" s="12" t="str">
        <f>IFERROR(G488*Datos!$B$1, "Revisar")</f>
        <v>Revisar</v>
      </c>
      <c r="I488" s="13" t="str">
        <f>IFERROR((VLOOKUP(B488, Roccia!$B$2:$D997, 3, FALSE) /(1-Datos!$E$1)), "Revisar")</f>
        <v>Revisar</v>
      </c>
      <c r="J488" s="13" t="str">
        <f>IFERROR(I488*Datos!$B$3, "Revisar")</f>
        <v>Revisar</v>
      </c>
      <c r="K488" s="13" t="str">
        <f t="shared" si="3"/>
        <v>Revisar</v>
      </c>
    </row>
    <row r="489">
      <c r="A489" s="8"/>
      <c r="B489" s="9"/>
      <c r="C489" s="10"/>
      <c r="D489" s="11"/>
      <c r="E489" s="11"/>
      <c r="F489" s="11" t="str">
        <f>IFERROR((VLOOKUP(B489, Roccia!$B$2:$D997, 3, FALSE)*(1+Datos!$E$1)), "Revisar")</f>
        <v>Revisar</v>
      </c>
      <c r="G489" s="11" t="str">
        <f>IFERROR(F489*Datos!$B$3, "Revisar")</f>
        <v>Revisar</v>
      </c>
      <c r="H489" s="12" t="str">
        <f>IFERROR(G489*Datos!$B$1, "Revisar")</f>
        <v>Revisar</v>
      </c>
      <c r="I489" s="13" t="str">
        <f>IFERROR((VLOOKUP(B489, Roccia!$B$2:$D997, 3, FALSE) /(1-Datos!$E$1)), "Revisar")</f>
        <v>Revisar</v>
      </c>
      <c r="J489" s="13" t="str">
        <f>IFERROR(I489*Datos!$B$3, "Revisar")</f>
        <v>Revisar</v>
      </c>
      <c r="K489" s="13" t="str">
        <f t="shared" si="3"/>
        <v>Revisar</v>
      </c>
    </row>
    <row r="490">
      <c r="A490" s="8"/>
      <c r="B490" s="9"/>
      <c r="C490" s="10"/>
      <c r="D490" s="11"/>
      <c r="E490" s="11"/>
      <c r="F490" s="11" t="str">
        <f>IFERROR((VLOOKUP(B490, Roccia!$B$2:$D997, 3, FALSE)*(1+Datos!$E$1)), "Revisar")</f>
        <v>Revisar</v>
      </c>
      <c r="G490" s="11" t="str">
        <f>IFERROR(F490*Datos!$B$3, "Revisar")</f>
        <v>Revisar</v>
      </c>
      <c r="H490" s="12" t="str">
        <f>IFERROR(G490*Datos!$B$1, "Revisar")</f>
        <v>Revisar</v>
      </c>
      <c r="I490" s="13" t="str">
        <f>IFERROR((VLOOKUP(B490, Roccia!$B$2:$D997, 3, FALSE) /(1-Datos!$E$1)), "Revisar")</f>
        <v>Revisar</v>
      </c>
      <c r="J490" s="13" t="str">
        <f>IFERROR(I490*Datos!$B$3, "Revisar")</f>
        <v>Revisar</v>
      </c>
      <c r="K490" s="13" t="str">
        <f t="shared" si="3"/>
        <v>Revisar</v>
      </c>
    </row>
    <row r="491">
      <c r="A491" s="8"/>
      <c r="B491" s="9"/>
      <c r="C491" s="10"/>
      <c r="D491" s="11"/>
      <c r="E491" s="11"/>
      <c r="F491" s="11" t="str">
        <f>IFERROR((VLOOKUP(B491, Roccia!$B$2:$D997, 3, FALSE)*(1+Datos!$E$1)), "Revisar")</f>
        <v>Revisar</v>
      </c>
      <c r="G491" s="11" t="str">
        <f>IFERROR(F491*Datos!$B$3, "Revisar")</f>
        <v>Revisar</v>
      </c>
      <c r="H491" s="12" t="str">
        <f>IFERROR(G491*Datos!$B$1, "Revisar")</f>
        <v>Revisar</v>
      </c>
      <c r="I491" s="13" t="str">
        <f>IFERROR((VLOOKUP(B491, Roccia!$B$2:$D997, 3, FALSE) /(1-Datos!$E$1)), "Revisar")</f>
        <v>Revisar</v>
      </c>
      <c r="J491" s="13" t="str">
        <f>IFERROR(I491*Datos!$B$3, "Revisar")</f>
        <v>Revisar</v>
      </c>
      <c r="K491" s="13" t="str">
        <f t="shared" si="3"/>
        <v>Revisar</v>
      </c>
    </row>
    <row r="492">
      <c r="A492" s="8"/>
      <c r="B492" s="9"/>
      <c r="C492" s="10"/>
      <c r="D492" s="11"/>
      <c r="E492" s="11"/>
      <c r="F492" s="11" t="str">
        <f>IFERROR((VLOOKUP(B492, Roccia!$B$2:$D997, 3, FALSE)*(1+Datos!$E$1)), "Revisar")</f>
        <v>Revisar</v>
      </c>
      <c r="G492" s="11" t="str">
        <f>IFERROR(F492*Datos!$B$3, "Revisar")</f>
        <v>Revisar</v>
      </c>
      <c r="H492" s="12" t="str">
        <f>IFERROR(G492*Datos!$B$1, "Revisar")</f>
        <v>Revisar</v>
      </c>
      <c r="I492" s="13" t="str">
        <f>IFERROR((VLOOKUP(B492, Roccia!$B$2:$D997, 3, FALSE) /(1-Datos!$E$1)), "Revisar")</f>
        <v>Revisar</v>
      </c>
      <c r="J492" s="13" t="str">
        <f>IFERROR(I492*Datos!$B$3, "Revisar")</f>
        <v>Revisar</v>
      </c>
      <c r="K492" s="13" t="str">
        <f t="shared" si="3"/>
        <v>Revisar</v>
      </c>
    </row>
    <row r="493">
      <c r="A493" s="8"/>
      <c r="B493" s="9"/>
      <c r="C493" s="10"/>
      <c r="D493" s="11"/>
      <c r="E493" s="11"/>
      <c r="F493" s="11" t="str">
        <f>IFERROR((VLOOKUP(B493, Roccia!$B$2:$D997, 3, FALSE)*(1+Datos!$E$1)), "Revisar")</f>
        <v>Revisar</v>
      </c>
      <c r="G493" s="11" t="str">
        <f>IFERROR(F493*Datos!$B$3, "Revisar")</f>
        <v>Revisar</v>
      </c>
      <c r="H493" s="12" t="str">
        <f>IFERROR(G493*Datos!$B$1, "Revisar")</f>
        <v>Revisar</v>
      </c>
      <c r="I493" s="13" t="str">
        <f>IFERROR((VLOOKUP(B493, Roccia!$B$2:$D997, 3, FALSE) /(1-Datos!$E$1)), "Revisar")</f>
        <v>Revisar</v>
      </c>
      <c r="J493" s="13" t="str">
        <f>IFERROR(I493*Datos!$B$3, "Revisar")</f>
        <v>Revisar</v>
      </c>
      <c r="K493" s="13" t="str">
        <f t="shared" si="3"/>
        <v>Revisar</v>
      </c>
    </row>
    <row r="494">
      <c r="A494" s="8"/>
      <c r="B494" s="9"/>
      <c r="C494" s="10"/>
      <c r="D494" s="11"/>
      <c r="E494" s="11"/>
      <c r="F494" s="11" t="str">
        <f>IFERROR((VLOOKUP(B494, Roccia!$B$2:$D997, 3, FALSE)*(1+Datos!$E$1)), "Revisar")</f>
        <v>Revisar</v>
      </c>
      <c r="G494" s="11" t="str">
        <f>IFERROR(F494*Datos!$B$3, "Revisar")</f>
        <v>Revisar</v>
      </c>
      <c r="H494" s="12" t="str">
        <f>IFERROR(G494*Datos!$B$1, "Revisar")</f>
        <v>Revisar</v>
      </c>
      <c r="I494" s="13" t="str">
        <f>IFERROR((VLOOKUP(B494, Roccia!$B$2:$D997, 3, FALSE) /(1-Datos!$E$1)), "Revisar")</f>
        <v>Revisar</v>
      </c>
      <c r="J494" s="13" t="str">
        <f>IFERROR(I494*Datos!$B$3, "Revisar")</f>
        <v>Revisar</v>
      </c>
      <c r="K494" s="13" t="str">
        <f t="shared" si="3"/>
        <v>Revisar</v>
      </c>
    </row>
    <row r="495">
      <c r="A495" s="8"/>
      <c r="B495" s="9"/>
      <c r="C495" s="10"/>
      <c r="D495" s="11"/>
      <c r="E495" s="11"/>
      <c r="F495" s="11" t="str">
        <f>IFERROR((VLOOKUP(B495, Roccia!$B$2:$D997, 3, FALSE)*(1+Datos!$E$1)), "Revisar")</f>
        <v>Revisar</v>
      </c>
      <c r="G495" s="11" t="str">
        <f>IFERROR(F495*Datos!$B$3, "Revisar")</f>
        <v>Revisar</v>
      </c>
      <c r="H495" s="12" t="str">
        <f>IFERROR(G495*Datos!$B$1, "Revisar")</f>
        <v>Revisar</v>
      </c>
      <c r="I495" s="13" t="str">
        <f>IFERROR((VLOOKUP(B495, Roccia!$B$2:$D997, 3, FALSE) /(1-Datos!$E$1)), "Revisar")</f>
        <v>Revisar</v>
      </c>
      <c r="J495" s="13" t="str">
        <f>IFERROR(I495*Datos!$B$3, "Revisar")</f>
        <v>Revisar</v>
      </c>
      <c r="K495" s="13" t="str">
        <f t="shared" si="3"/>
        <v>Revisar</v>
      </c>
    </row>
    <row r="496">
      <c r="A496" s="8"/>
      <c r="B496" s="9"/>
      <c r="C496" s="10"/>
      <c r="D496" s="11"/>
      <c r="E496" s="11"/>
      <c r="F496" s="11" t="str">
        <f>IFERROR((VLOOKUP(B496, Roccia!$B$2:$D997, 3, FALSE)*(1+Datos!$E$1)), "Revisar")</f>
        <v>Revisar</v>
      </c>
      <c r="G496" s="11" t="str">
        <f>IFERROR(F496*Datos!$B$3, "Revisar")</f>
        <v>Revisar</v>
      </c>
      <c r="H496" s="12" t="str">
        <f>IFERROR(G496*Datos!$B$1, "Revisar")</f>
        <v>Revisar</v>
      </c>
      <c r="I496" s="13" t="str">
        <f>IFERROR((VLOOKUP(B496, Roccia!$B$2:$D997, 3, FALSE) /(1-Datos!$E$1)), "Revisar")</f>
        <v>Revisar</v>
      </c>
      <c r="J496" s="13" t="str">
        <f>IFERROR(I496*Datos!$B$3, "Revisar")</f>
        <v>Revisar</v>
      </c>
      <c r="K496" s="13" t="str">
        <f t="shared" si="3"/>
        <v>Revisar</v>
      </c>
    </row>
    <row r="497">
      <c r="A497" s="8"/>
      <c r="B497" s="9"/>
      <c r="C497" s="10"/>
      <c r="D497" s="11"/>
      <c r="E497" s="11"/>
      <c r="F497" s="11" t="str">
        <f>IFERROR((VLOOKUP(B497, Roccia!$B$2:$D997, 3, FALSE)*(1+Datos!$E$1)), "Revisar")</f>
        <v>Revisar</v>
      </c>
      <c r="G497" s="11" t="str">
        <f>IFERROR(F497*Datos!$B$3, "Revisar")</f>
        <v>Revisar</v>
      </c>
      <c r="H497" s="12" t="str">
        <f>IFERROR(G497*Datos!$B$1, "Revisar")</f>
        <v>Revisar</v>
      </c>
      <c r="I497" s="13" t="str">
        <f>IFERROR((VLOOKUP(B497, Roccia!$B$2:$D997, 3, FALSE) /(1-Datos!$E$1)), "Revisar")</f>
        <v>Revisar</v>
      </c>
      <c r="J497" s="13" t="str">
        <f>IFERROR(I497*Datos!$B$3, "Revisar")</f>
        <v>Revisar</v>
      </c>
      <c r="K497" s="13" t="str">
        <f t="shared" si="3"/>
        <v>Revisar</v>
      </c>
    </row>
    <row r="498">
      <c r="A498" s="8"/>
      <c r="B498" s="9"/>
      <c r="C498" s="10"/>
      <c r="D498" s="11"/>
      <c r="E498" s="11"/>
      <c r="F498" s="11" t="str">
        <f>IFERROR((VLOOKUP(B498, Roccia!$B$2:$D997, 3, FALSE)*(1+Datos!$E$1)), "Revisar")</f>
        <v>Revisar</v>
      </c>
      <c r="G498" s="11" t="str">
        <f>IFERROR(F498*Datos!$B$3, "Revisar")</f>
        <v>Revisar</v>
      </c>
      <c r="H498" s="12" t="str">
        <f>IFERROR(G498*Datos!$B$1, "Revisar")</f>
        <v>Revisar</v>
      </c>
      <c r="I498" s="13" t="str">
        <f>IFERROR((VLOOKUP(B498, Roccia!$B$2:$D997, 3, FALSE) /(1-Datos!$E$1)), "Revisar")</f>
        <v>Revisar</v>
      </c>
      <c r="J498" s="13" t="str">
        <f>IFERROR(I498*Datos!$B$3, "Revisar")</f>
        <v>Revisar</v>
      </c>
      <c r="K498" s="13" t="str">
        <f t="shared" si="3"/>
        <v>Revisar</v>
      </c>
    </row>
    <row r="499">
      <c r="A499" s="8"/>
      <c r="B499" s="9"/>
      <c r="C499" s="10"/>
      <c r="D499" s="11"/>
      <c r="E499" s="11"/>
      <c r="F499" s="11" t="str">
        <f>IFERROR((VLOOKUP(B499, Roccia!$B$2:$D997, 3, FALSE)*(1+Datos!$E$1)), "Revisar")</f>
        <v>Revisar</v>
      </c>
      <c r="G499" s="11" t="str">
        <f>IFERROR(F499*Datos!$B$3, "Revisar")</f>
        <v>Revisar</v>
      </c>
      <c r="H499" s="12" t="str">
        <f>IFERROR(G499*Datos!$B$1, "Revisar")</f>
        <v>Revisar</v>
      </c>
      <c r="I499" s="13" t="str">
        <f>IFERROR((VLOOKUP(B499, Roccia!$B$2:$D997, 3, FALSE) /(1-Datos!$E$1)), "Revisar")</f>
        <v>Revisar</v>
      </c>
      <c r="J499" s="13" t="str">
        <f>IFERROR(I499*Datos!$B$3, "Revisar")</f>
        <v>Revisar</v>
      </c>
      <c r="K499" s="13" t="str">
        <f t="shared" si="3"/>
        <v>Revisar</v>
      </c>
    </row>
    <row r="500">
      <c r="A500" s="8"/>
      <c r="B500" s="9"/>
      <c r="C500" s="10"/>
      <c r="D500" s="11"/>
      <c r="E500" s="11"/>
      <c r="F500" s="11" t="str">
        <f>IFERROR((VLOOKUP(B500, Roccia!$B$2:$D997, 3, FALSE)*(1+Datos!$E$1)), "Revisar")</f>
        <v>Revisar</v>
      </c>
      <c r="G500" s="11" t="str">
        <f>IFERROR(F500*Datos!$B$3, "Revisar")</f>
        <v>Revisar</v>
      </c>
      <c r="H500" s="12" t="str">
        <f>IFERROR(G500*Datos!$B$1, "Revisar")</f>
        <v>Revisar</v>
      </c>
      <c r="I500" s="13" t="str">
        <f>IFERROR((VLOOKUP(B500, Roccia!$B$2:$D997, 3, FALSE) /(1-Datos!$E$1)), "Revisar")</f>
        <v>Revisar</v>
      </c>
      <c r="J500" s="13" t="str">
        <f>IFERROR(I500*Datos!$B$3, "Revisar")</f>
        <v>Revisar</v>
      </c>
      <c r="K500" s="13" t="str">
        <f t="shared" si="3"/>
        <v>Revisar</v>
      </c>
    </row>
    <row r="501">
      <c r="A501" s="8"/>
      <c r="B501" s="9"/>
      <c r="C501" s="10"/>
      <c r="D501" s="11"/>
      <c r="E501" s="11"/>
      <c r="F501" s="11" t="str">
        <f>IFERROR((VLOOKUP(B501, Roccia!$B$2:$D997, 3, FALSE)*(1+Datos!$E$1)), "Revisar")</f>
        <v>Revisar</v>
      </c>
      <c r="G501" s="11" t="str">
        <f>IFERROR(F501*Datos!$B$3, "Revisar")</f>
        <v>Revisar</v>
      </c>
      <c r="H501" s="12" t="str">
        <f>IFERROR(G501*Datos!$B$1, "Revisar")</f>
        <v>Revisar</v>
      </c>
      <c r="I501" s="13" t="str">
        <f>IFERROR((VLOOKUP(B501, Roccia!$B$2:$D997, 3, FALSE) /(1-Datos!$E$1)), "Revisar")</f>
        <v>Revisar</v>
      </c>
      <c r="J501" s="13" t="str">
        <f>IFERROR(I501*Datos!$B$3, "Revisar")</f>
        <v>Revisar</v>
      </c>
      <c r="K501" s="13" t="str">
        <f t="shared" si="3"/>
        <v>Revisar</v>
      </c>
    </row>
    <row r="502">
      <c r="A502" s="8"/>
      <c r="B502" s="9"/>
      <c r="C502" s="10"/>
      <c r="D502" s="11"/>
      <c r="E502" s="11"/>
      <c r="F502" s="11" t="str">
        <f>IFERROR((VLOOKUP(B502, Roccia!$B$2:$D997, 3, FALSE)*(1+Datos!$E$1)), "Revisar")</f>
        <v>Revisar</v>
      </c>
      <c r="G502" s="11" t="str">
        <f>IFERROR(F502*Datos!$B$3, "Revisar")</f>
        <v>Revisar</v>
      </c>
      <c r="H502" s="12" t="str">
        <f>IFERROR(G502*Datos!$B$1, "Revisar")</f>
        <v>Revisar</v>
      </c>
      <c r="I502" s="13" t="str">
        <f>IFERROR((VLOOKUP(B502, Roccia!$B$2:$D997, 3, FALSE) /(1-Datos!$E$1)), "Revisar")</f>
        <v>Revisar</v>
      </c>
      <c r="J502" s="13" t="str">
        <f>IFERROR(I502*Datos!$B$3, "Revisar")</f>
        <v>Revisar</v>
      </c>
      <c r="K502" s="13" t="str">
        <f t="shared" si="3"/>
        <v>Revisar</v>
      </c>
    </row>
    <row r="503">
      <c r="A503" s="8"/>
      <c r="B503" s="9"/>
      <c r="C503" s="10"/>
      <c r="D503" s="11"/>
      <c r="E503" s="11"/>
      <c r="F503" s="11" t="str">
        <f>IFERROR((VLOOKUP(B503, Roccia!$B$2:$D997, 3, FALSE)*(1+Datos!$E$1)), "Revisar")</f>
        <v>Revisar</v>
      </c>
      <c r="G503" s="11" t="str">
        <f>IFERROR(F503*Datos!$B$3, "Revisar")</f>
        <v>Revisar</v>
      </c>
      <c r="H503" s="12" t="str">
        <f>IFERROR(G503*Datos!$B$1, "Revisar")</f>
        <v>Revisar</v>
      </c>
      <c r="I503" s="13" t="str">
        <f>IFERROR((VLOOKUP(B503, Roccia!$B$2:$D997, 3, FALSE) /(1-Datos!$E$1)), "Revisar")</f>
        <v>Revisar</v>
      </c>
      <c r="J503" s="13" t="str">
        <f>IFERROR(I503*Datos!$B$3, "Revisar")</f>
        <v>Revisar</v>
      </c>
      <c r="K503" s="13" t="str">
        <f t="shared" si="3"/>
        <v>Revisar</v>
      </c>
    </row>
    <row r="504">
      <c r="A504" s="8"/>
      <c r="B504" s="9"/>
      <c r="C504" s="10"/>
      <c r="D504" s="11"/>
      <c r="E504" s="11"/>
      <c r="F504" s="11" t="str">
        <f>IFERROR((VLOOKUP(B504, Roccia!$B$2:$D997, 3, FALSE)*(1+Datos!$E$1)), "Revisar")</f>
        <v>Revisar</v>
      </c>
      <c r="G504" s="11" t="str">
        <f>IFERROR(F504*Datos!$B$3, "Revisar")</f>
        <v>Revisar</v>
      </c>
      <c r="H504" s="12" t="str">
        <f>IFERROR(G504*Datos!$B$1, "Revisar")</f>
        <v>Revisar</v>
      </c>
      <c r="I504" s="13" t="str">
        <f>IFERROR((VLOOKUP(B504, Roccia!$B$2:$D997, 3, FALSE) /(1-Datos!$E$1)), "Revisar")</f>
        <v>Revisar</v>
      </c>
      <c r="J504" s="13" t="str">
        <f>IFERROR(I504*Datos!$B$3, "Revisar")</f>
        <v>Revisar</v>
      </c>
      <c r="K504" s="13" t="str">
        <f t="shared" si="3"/>
        <v>Revisar</v>
      </c>
    </row>
    <row r="505">
      <c r="A505" s="8"/>
      <c r="B505" s="9"/>
      <c r="C505" s="10"/>
      <c r="D505" s="11"/>
      <c r="E505" s="11"/>
      <c r="F505" s="11" t="str">
        <f>IFERROR((VLOOKUP(B505, Roccia!$B$2:$D997, 3, FALSE)*(1+Datos!$E$1)), "Revisar")</f>
        <v>Revisar</v>
      </c>
      <c r="G505" s="11" t="str">
        <f>IFERROR(F505*Datos!$B$3, "Revisar")</f>
        <v>Revisar</v>
      </c>
      <c r="H505" s="12" t="str">
        <f>IFERROR(G505*Datos!$B$1, "Revisar")</f>
        <v>Revisar</v>
      </c>
      <c r="I505" s="13" t="str">
        <f>IFERROR((VLOOKUP(B505, Roccia!$B$2:$D997, 3, FALSE) /(1-Datos!$E$1)), "Revisar")</f>
        <v>Revisar</v>
      </c>
      <c r="J505" s="13" t="str">
        <f>IFERROR(I505*Datos!$B$3, "Revisar")</f>
        <v>Revisar</v>
      </c>
      <c r="K505" s="13" t="str">
        <f t="shared" si="3"/>
        <v>Revisar</v>
      </c>
    </row>
    <row r="506">
      <c r="A506" s="8"/>
      <c r="B506" s="9"/>
      <c r="C506" s="10"/>
      <c r="D506" s="11"/>
      <c r="E506" s="11"/>
      <c r="F506" s="11" t="str">
        <f>IFERROR((VLOOKUP(B506, Roccia!$B$2:$D997, 3, FALSE)*(1+Datos!$E$1)), "Revisar")</f>
        <v>Revisar</v>
      </c>
      <c r="G506" s="11" t="str">
        <f>IFERROR(F506*Datos!$B$3, "Revisar")</f>
        <v>Revisar</v>
      </c>
      <c r="H506" s="12" t="str">
        <f>IFERROR(G506*Datos!$B$1, "Revisar")</f>
        <v>Revisar</v>
      </c>
      <c r="I506" s="13" t="str">
        <f>IFERROR((VLOOKUP(B506, Roccia!$B$2:$D997, 3, FALSE) /(1-Datos!$E$1)), "Revisar")</f>
        <v>Revisar</v>
      </c>
      <c r="J506" s="13" t="str">
        <f>IFERROR(I506*Datos!$B$3, "Revisar")</f>
        <v>Revisar</v>
      </c>
      <c r="K506" s="13" t="str">
        <f t="shared" si="3"/>
        <v>Revisar</v>
      </c>
    </row>
    <row r="507">
      <c r="A507" s="8"/>
      <c r="B507" s="9"/>
      <c r="C507" s="10"/>
      <c r="D507" s="11"/>
      <c r="E507" s="11"/>
      <c r="F507" s="11" t="str">
        <f>IFERROR((VLOOKUP(B507, Roccia!$B$2:$D997, 3, FALSE)*(1+Datos!$E$1)), "Revisar")</f>
        <v>Revisar</v>
      </c>
      <c r="G507" s="11" t="str">
        <f>IFERROR(F507*Datos!$B$3, "Revisar")</f>
        <v>Revisar</v>
      </c>
      <c r="H507" s="12" t="str">
        <f>IFERROR(G507*Datos!$B$1, "Revisar")</f>
        <v>Revisar</v>
      </c>
      <c r="I507" s="13" t="str">
        <f>IFERROR((VLOOKUP(B507, Roccia!$B$2:$D997, 3, FALSE) /(1-Datos!$E$1)), "Revisar")</f>
        <v>Revisar</v>
      </c>
      <c r="J507" s="13" t="str">
        <f>IFERROR(I507*Datos!$B$3, "Revisar")</f>
        <v>Revisar</v>
      </c>
      <c r="K507" s="13" t="str">
        <f t="shared" si="3"/>
        <v>Revisar</v>
      </c>
    </row>
    <row r="508">
      <c r="A508" s="8"/>
      <c r="B508" s="9"/>
      <c r="C508" s="10"/>
      <c r="D508" s="11"/>
      <c r="E508" s="11"/>
      <c r="F508" s="11" t="str">
        <f>IFERROR((VLOOKUP(B508, Roccia!$B$2:$D997, 3, FALSE)*(1+Datos!$E$1)), "Revisar")</f>
        <v>Revisar</v>
      </c>
      <c r="G508" s="11" t="str">
        <f>IFERROR(F508*Datos!$B$3, "Revisar")</f>
        <v>Revisar</v>
      </c>
      <c r="H508" s="12" t="str">
        <f>IFERROR(G508*Datos!$B$1, "Revisar")</f>
        <v>Revisar</v>
      </c>
      <c r="I508" s="13" t="str">
        <f>IFERROR((VLOOKUP(B508, Roccia!$B$2:$D997, 3, FALSE) /(1-Datos!$E$1)), "Revisar")</f>
        <v>Revisar</v>
      </c>
      <c r="J508" s="13" t="str">
        <f>IFERROR(I508*Datos!$B$3, "Revisar")</f>
        <v>Revisar</v>
      </c>
      <c r="K508" s="13" t="str">
        <f t="shared" si="3"/>
        <v>Revisar</v>
      </c>
    </row>
    <row r="509">
      <c r="A509" s="8"/>
      <c r="B509" s="9"/>
      <c r="C509" s="10"/>
      <c r="D509" s="11"/>
      <c r="E509" s="11"/>
      <c r="F509" s="11" t="str">
        <f>IFERROR((VLOOKUP(B509, Roccia!$B$2:$D997, 3, FALSE)*(1+Datos!$E$1)), "Revisar")</f>
        <v>Revisar</v>
      </c>
      <c r="G509" s="11" t="str">
        <f>IFERROR(F509*Datos!$B$3, "Revisar")</f>
        <v>Revisar</v>
      </c>
      <c r="H509" s="12" t="str">
        <f>IFERROR(G509*Datos!$B$1, "Revisar")</f>
        <v>Revisar</v>
      </c>
      <c r="I509" s="13" t="str">
        <f>IFERROR((VLOOKUP(B509, Roccia!$B$2:$D997, 3, FALSE) /(1-Datos!$E$1)), "Revisar")</f>
        <v>Revisar</v>
      </c>
      <c r="J509" s="13" t="str">
        <f>IFERROR(I509*Datos!$B$3, "Revisar")</f>
        <v>Revisar</v>
      </c>
      <c r="K509" s="13" t="str">
        <f t="shared" si="3"/>
        <v>Revisar</v>
      </c>
    </row>
    <row r="510">
      <c r="A510" s="8"/>
      <c r="B510" s="9"/>
      <c r="C510" s="10"/>
      <c r="D510" s="11"/>
      <c r="E510" s="11"/>
      <c r="F510" s="11" t="str">
        <f>IFERROR((VLOOKUP(B510, Roccia!$B$2:$D997, 3, FALSE)*(1+Datos!$E$1)), "Revisar")</f>
        <v>Revisar</v>
      </c>
      <c r="G510" s="11" t="str">
        <f>IFERROR(F510*Datos!$B$3, "Revisar")</f>
        <v>Revisar</v>
      </c>
      <c r="H510" s="12" t="str">
        <f>IFERROR(G510*Datos!$B$1, "Revisar")</f>
        <v>Revisar</v>
      </c>
      <c r="I510" s="13" t="str">
        <f>IFERROR((VLOOKUP(B510, Roccia!$B$2:$D997, 3, FALSE) /(1-Datos!$E$1)), "Revisar")</f>
        <v>Revisar</v>
      </c>
      <c r="J510" s="13" t="str">
        <f>IFERROR(I510*Datos!$B$3, "Revisar")</f>
        <v>Revisar</v>
      </c>
      <c r="K510" s="13" t="str">
        <f t="shared" si="3"/>
        <v>Revisar</v>
      </c>
    </row>
    <row r="511">
      <c r="A511" s="8"/>
      <c r="B511" s="9"/>
      <c r="C511" s="10"/>
      <c r="D511" s="11"/>
      <c r="E511" s="11"/>
      <c r="F511" s="11" t="str">
        <f>IFERROR((VLOOKUP(B511, Roccia!$B$2:$D997, 3, FALSE)*(1+Datos!$E$1)), "Revisar")</f>
        <v>Revisar</v>
      </c>
      <c r="G511" s="11" t="str">
        <f>IFERROR(F511*Datos!$B$3, "Revisar")</f>
        <v>Revisar</v>
      </c>
      <c r="H511" s="12" t="str">
        <f>IFERROR(G511*Datos!$B$1, "Revisar")</f>
        <v>Revisar</v>
      </c>
      <c r="I511" s="13" t="str">
        <f>IFERROR((VLOOKUP(B511, Roccia!$B$2:$D997, 3, FALSE) /(1-Datos!$E$1)), "Revisar")</f>
        <v>Revisar</v>
      </c>
      <c r="J511" s="13" t="str">
        <f>IFERROR(I511*Datos!$B$3, "Revisar")</f>
        <v>Revisar</v>
      </c>
      <c r="K511" s="13" t="str">
        <f t="shared" si="3"/>
        <v>Revisar</v>
      </c>
    </row>
    <row r="512">
      <c r="A512" s="8"/>
      <c r="B512" s="9"/>
      <c r="C512" s="10"/>
      <c r="D512" s="11"/>
      <c r="E512" s="11"/>
      <c r="F512" s="11" t="str">
        <f>IFERROR((VLOOKUP(B512, Roccia!$B$2:$D997, 3, FALSE)*(1+Datos!$E$1)), "Revisar")</f>
        <v>Revisar</v>
      </c>
      <c r="G512" s="11" t="str">
        <f>IFERROR(F512*Datos!$B$3, "Revisar")</f>
        <v>Revisar</v>
      </c>
      <c r="H512" s="12" t="str">
        <f>IFERROR(G512*Datos!$B$1, "Revisar")</f>
        <v>Revisar</v>
      </c>
      <c r="I512" s="13" t="str">
        <f>IFERROR((VLOOKUP(B512, Roccia!$B$2:$D997, 3, FALSE) /(1-Datos!$E$1)), "Revisar")</f>
        <v>Revisar</v>
      </c>
      <c r="J512" s="13" t="str">
        <f>IFERROR(I512*Datos!$B$3, "Revisar")</f>
        <v>Revisar</v>
      </c>
      <c r="K512" s="13" t="str">
        <f t="shared" si="3"/>
        <v>Revisar</v>
      </c>
    </row>
    <row r="513">
      <c r="A513" s="8"/>
      <c r="B513" s="9"/>
      <c r="C513" s="10"/>
      <c r="D513" s="11"/>
      <c r="E513" s="11"/>
      <c r="F513" s="11" t="str">
        <f>IFERROR((VLOOKUP(B513, Roccia!$B$2:$D997, 3, FALSE)*(1+Datos!$E$1)), "Revisar")</f>
        <v>Revisar</v>
      </c>
      <c r="G513" s="11" t="str">
        <f>IFERROR(F513*Datos!$B$3, "Revisar")</f>
        <v>Revisar</v>
      </c>
      <c r="H513" s="12" t="str">
        <f>IFERROR(G513*Datos!$B$1, "Revisar")</f>
        <v>Revisar</v>
      </c>
      <c r="I513" s="13" t="str">
        <f>IFERROR((VLOOKUP(B513, Roccia!$B$2:$D997, 3, FALSE) /(1-Datos!$E$1)), "Revisar")</f>
        <v>Revisar</v>
      </c>
      <c r="J513" s="13" t="str">
        <f>IFERROR(I513*Datos!$B$3, "Revisar")</f>
        <v>Revisar</v>
      </c>
      <c r="K513" s="13" t="str">
        <f t="shared" si="3"/>
        <v>Revisar</v>
      </c>
    </row>
    <row r="514">
      <c r="A514" s="8"/>
      <c r="B514" s="9"/>
      <c r="C514" s="10"/>
      <c r="D514" s="11"/>
      <c r="E514" s="11"/>
      <c r="F514" s="11" t="str">
        <f>IFERROR((VLOOKUP(B514, Roccia!$B$2:$D997, 3, FALSE)*(1+Datos!$E$1)), "Revisar")</f>
        <v>Revisar</v>
      </c>
      <c r="G514" s="11" t="str">
        <f>IFERROR(F514*Datos!$B$3, "Revisar")</f>
        <v>Revisar</v>
      </c>
      <c r="H514" s="12" t="str">
        <f>IFERROR(G514*Datos!$B$1, "Revisar")</f>
        <v>Revisar</v>
      </c>
      <c r="I514" s="13" t="str">
        <f>IFERROR((VLOOKUP(B514, Roccia!$B$2:$D997, 3, FALSE) /(1-Datos!$E$1)), "Revisar")</f>
        <v>Revisar</v>
      </c>
      <c r="J514" s="13" t="str">
        <f>IFERROR(I514*Datos!$B$3, "Revisar")</f>
        <v>Revisar</v>
      </c>
      <c r="K514" s="13" t="str">
        <f t="shared" si="3"/>
        <v>Revisar</v>
      </c>
    </row>
    <row r="515">
      <c r="A515" s="8"/>
      <c r="B515" s="9"/>
      <c r="C515" s="10"/>
      <c r="D515" s="11"/>
      <c r="E515" s="11"/>
      <c r="F515" s="11" t="str">
        <f>IFERROR((VLOOKUP(B515, Roccia!$B$2:$D997, 3, FALSE)*(1+Datos!$E$1)), "Revisar")</f>
        <v>Revisar</v>
      </c>
      <c r="G515" s="11" t="str">
        <f>IFERROR(F515*Datos!$B$3, "Revisar")</f>
        <v>Revisar</v>
      </c>
      <c r="H515" s="12" t="str">
        <f>IFERROR(G515*Datos!$B$1, "Revisar")</f>
        <v>Revisar</v>
      </c>
      <c r="I515" s="13" t="str">
        <f>IFERROR((VLOOKUP(B515, Roccia!$B$2:$D997, 3, FALSE) /(1-Datos!$E$1)), "Revisar")</f>
        <v>Revisar</v>
      </c>
      <c r="J515" s="13" t="str">
        <f>IFERROR(I515*Datos!$B$3, "Revisar")</f>
        <v>Revisar</v>
      </c>
      <c r="K515" s="13" t="str">
        <f t="shared" si="3"/>
        <v>Revisar</v>
      </c>
    </row>
    <row r="516">
      <c r="A516" s="8"/>
      <c r="B516" s="9"/>
      <c r="C516" s="10"/>
      <c r="D516" s="11"/>
      <c r="E516" s="11"/>
      <c r="F516" s="11" t="str">
        <f>IFERROR((VLOOKUP(B516, Roccia!$B$2:$D997, 3, FALSE)*(1+Datos!$E$1)), "Revisar")</f>
        <v>Revisar</v>
      </c>
      <c r="G516" s="11" t="str">
        <f>IFERROR(F516*Datos!$B$3, "Revisar")</f>
        <v>Revisar</v>
      </c>
      <c r="H516" s="12" t="str">
        <f>IFERROR(G516*Datos!$B$1, "Revisar")</f>
        <v>Revisar</v>
      </c>
      <c r="I516" s="13" t="str">
        <f>IFERROR((VLOOKUP(B516, Roccia!$B$2:$D997, 3, FALSE) /(1-Datos!$E$1)), "Revisar")</f>
        <v>Revisar</v>
      </c>
      <c r="J516" s="13" t="str">
        <f>IFERROR(I516*Datos!$B$3, "Revisar")</f>
        <v>Revisar</v>
      </c>
      <c r="K516" s="13" t="str">
        <f t="shared" si="3"/>
        <v>Revisar</v>
      </c>
    </row>
    <row r="517">
      <c r="A517" s="8"/>
      <c r="B517" s="9"/>
      <c r="C517" s="10"/>
      <c r="D517" s="11"/>
      <c r="E517" s="11"/>
      <c r="F517" s="11" t="str">
        <f>IFERROR((VLOOKUP(B517, Roccia!$B$2:$D997, 3, FALSE)*(1+Datos!$E$1)), "Revisar")</f>
        <v>Revisar</v>
      </c>
      <c r="G517" s="11" t="str">
        <f>IFERROR(F517*Datos!$B$3, "Revisar")</f>
        <v>Revisar</v>
      </c>
      <c r="H517" s="12" t="str">
        <f>IFERROR(G517*Datos!$B$1, "Revisar")</f>
        <v>Revisar</v>
      </c>
      <c r="I517" s="13" t="str">
        <f>IFERROR((VLOOKUP(B517, Roccia!$B$2:$D997, 3, FALSE) /(1-Datos!$E$1)), "Revisar")</f>
        <v>Revisar</v>
      </c>
      <c r="J517" s="13" t="str">
        <f>IFERROR(I517*Datos!$B$3, "Revisar")</f>
        <v>Revisar</v>
      </c>
      <c r="K517" s="13" t="str">
        <f t="shared" si="3"/>
        <v>Revisar</v>
      </c>
    </row>
    <row r="518">
      <c r="A518" s="16"/>
      <c r="B518" s="17"/>
      <c r="C518" s="18"/>
      <c r="D518" s="11"/>
      <c r="E518" s="11"/>
      <c r="F518" s="11"/>
      <c r="G518" s="11"/>
      <c r="H518" s="12"/>
      <c r="I518" s="13"/>
      <c r="J518" s="13"/>
      <c r="K518" s="13"/>
    </row>
    <row r="519">
      <c r="A519" s="16"/>
      <c r="B519" s="17"/>
      <c r="C519" s="18"/>
      <c r="D519" s="11"/>
      <c r="E519" s="11"/>
      <c r="F519" s="11"/>
      <c r="G519" s="11"/>
      <c r="H519" s="12"/>
      <c r="I519" s="13"/>
      <c r="J519" s="13"/>
      <c r="K519" s="13"/>
    </row>
    <row r="520">
      <c r="A520" s="16"/>
      <c r="B520" s="17"/>
      <c r="C520" s="18"/>
      <c r="D520" s="11"/>
      <c r="E520" s="11"/>
      <c r="F520" s="11"/>
      <c r="G520" s="11"/>
      <c r="H520" s="12"/>
      <c r="I520" s="13"/>
      <c r="J520" s="13"/>
      <c r="K520" s="13"/>
    </row>
    <row r="521">
      <c r="A521" s="16"/>
      <c r="B521" s="17"/>
      <c r="C521" s="18"/>
      <c r="D521" s="11"/>
      <c r="E521" s="11"/>
      <c r="F521" s="11"/>
      <c r="G521" s="11"/>
      <c r="H521" s="12"/>
      <c r="I521" s="13"/>
      <c r="J521" s="13"/>
      <c r="K521" s="13"/>
    </row>
    <row r="522">
      <c r="A522" s="16"/>
      <c r="B522" s="17"/>
      <c r="C522" s="18"/>
      <c r="D522" s="11"/>
      <c r="E522" s="11"/>
      <c r="F522" s="11"/>
      <c r="G522" s="11"/>
      <c r="H522" s="12"/>
      <c r="I522" s="13"/>
      <c r="J522" s="13"/>
      <c r="K522" s="13"/>
    </row>
    <row r="523">
      <c r="A523" s="16"/>
      <c r="B523" s="17"/>
      <c r="C523" s="18"/>
      <c r="D523" s="11"/>
      <c r="E523" s="11"/>
      <c r="F523" s="11"/>
      <c r="G523" s="11"/>
      <c r="H523" s="12"/>
      <c r="I523" s="13"/>
      <c r="J523" s="13"/>
      <c r="K523" s="13"/>
    </row>
    <row r="524">
      <c r="A524" s="16"/>
      <c r="B524" s="17"/>
      <c r="C524" s="18"/>
      <c r="D524" s="11"/>
      <c r="E524" s="11"/>
      <c r="F524" s="11"/>
      <c r="G524" s="11"/>
      <c r="H524" s="12"/>
      <c r="I524" s="13"/>
      <c r="J524" s="13"/>
      <c r="K524" s="13"/>
    </row>
    <row r="525">
      <c r="A525" s="16"/>
      <c r="B525" s="17"/>
      <c r="C525" s="18"/>
      <c r="D525" s="11"/>
      <c r="E525" s="11"/>
      <c r="F525" s="11"/>
      <c r="G525" s="11"/>
      <c r="H525" s="12"/>
      <c r="I525" s="13"/>
      <c r="J525" s="13"/>
      <c r="K525" s="13"/>
    </row>
    <row r="526">
      <c r="A526" s="16"/>
      <c r="B526" s="17"/>
      <c r="C526" s="18"/>
      <c r="D526" s="11"/>
      <c r="E526" s="11"/>
      <c r="F526" s="11"/>
      <c r="G526" s="11"/>
      <c r="H526" s="12"/>
      <c r="I526" s="13"/>
      <c r="J526" s="13"/>
      <c r="K526" s="13"/>
    </row>
    <row r="527">
      <c r="A527" s="16"/>
      <c r="B527" s="17"/>
      <c r="C527" s="18"/>
      <c r="D527" s="11"/>
      <c r="E527" s="11"/>
      <c r="F527" s="11"/>
      <c r="G527" s="11"/>
      <c r="H527" s="12"/>
      <c r="I527" s="13"/>
      <c r="J527" s="13"/>
      <c r="K527" s="13"/>
    </row>
    <row r="528">
      <c r="A528" s="16"/>
      <c r="B528" s="17"/>
      <c r="C528" s="18"/>
      <c r="D528" s="11"/>
      <c r="E528" s="11"/>
      <c r="F528" s="11"/>
      <c r="G528" s="11"/>
      <c r="H528" s="12"/>
      <c r="I528" s="13"/>
      <c r="J528" s="13"/>
      <c r="K528" s="13"/>
    </row>
    <row r="529">
      <c r="A529" s="16"/>
      <c r="B529" s="17"/>
      <c r="C529" s="18"/>
      <c r="D529" s="11"/>
      <c r="E529" s="11"/>
      <c r="F529" s="11"/>
      <c r="G529" s="11"/>
      <c r="H529" s="12"/>
      <c r="I529" s="13"/>
      <c r="J529" s="13"/>
      <c r="K529" s="13"/>
    </row>
    <row r="530">
      <c r="A530" s="16"/>
      <c r="B530" s="17"/>
      <c r="C530" s="18"/>
      <c r="D530" s="11"/>
      <c r="E530" s="11"/>
      <c r="F530" s="11"/>
      <c r="G530" s="11"/>
      <c r="H530" s="12"/>
      <c r="I530" s="13"/>
      <c r="J530" s="13"/>
      <c r="K530" s="13"/>
    </row>
    <row r="531">
      <c r="A531" s="16"/>
      <c r="B531" s="17"/>
      <c r="C531" s="18"/>
      <c r="D531" s="11"/>
      <c r="E531" s="11"/>
      <c r="F531" s="11"/>
      <c r="G531" s="11"/>
      <c r="H531" s="12"/>
      <c r="I531" s="13"/>
      <c r="J531" s="13"/>
      <c r="K531" s="13"/>
    </row>
    <row r="532">
      <c r="A532" s="16"/>
      <c r="B532" s="17"/>
      <c r="C532" s="18"/>
      <c r="D532" s="11"/>
      <c r="E532" s="11"/>
      <c r="F532" s="11"/>
      <c r="G532" s="11"/>
      <c r="H532" s="12"/>
      <c r="I532" s="13"/>
      <c r="J532" s="13"/>
      <c r="K532" s="13"/>
    </row>
    <row r="533">
      <c r="A533" s="16"/>
      <c r="B533" s="17"/>
      <c r="C533" s="18"/>
      <c r="D533" s="11"/>
      <c r="E533" s="11"/>
      <c r="F533" s="11"/>
      <c r="G533" s="11"/>
      <c r="H533" s="12"/>
      <c r="I533" s="13"/>
      <c r="J533" s="13"/>
      <c r="K533" s="13"/>
    </row>
    <row r="534">
      <c r="A534" s="16"/>
      <c r="B534" s="17"/>
      <c r="C534" s="18"/>
      <c r="D534" s="11"/>
      <c r="E534" s="11"/>
      <c r="F534" s="11"/>
      <c r="G534" s="11"/>
      <c r="H534" s="12"/>
      <c r="I534" s="13"/>
      <c r="J534" s="13"/>
      <c r="K534" s="13"/>
    </row>
    <row r="535">
      <c r="A535" s="16"/>
      <c r="B535" s="17"/>
      <c r="C535" s="18"/>
      <c r="D535" s="11"/>
      <c r="E535" s="11"/>
      <c r="F535" s="11"/>
      <c r="G535" s="11"/>
      <c r="H535" s="12"/>
      <c r="I535" s="13"/>
      <c r="J535" s="13"/>
      <c r="K535" s="13"/>
    </row>
    <row r="536">
      <c r="A536" s="16"/>
      <c r="B536" s="17"/>
      <c r="C536" s="18"/>
      <c r="D536" s="11"/>
      <c r="E536" s="11"/>
      <c r="F536" s="11"/>
      <c r="G536" s="11"/>
      <c r="H536" s="12"/>
      <c r="I536" s="13"/>
      <c r="J536" s="13"/>
      <c r="K536" s="13"/>
    </row>
    <row r="537">
      <c r="A537" s="16"/>
      <c r="B537" s="17"/>
      <c r="C537" s="18"/>
      <c r="D537" s="11"/>
      <c r="E537" s="11"/>
      <c r="F537" s="11"/>
      <c r="G537" s="11"/>
      <c r="H537" s="12"/>
      <c r="I537" s="13"/>
      <c r="J537" s="13"/>
      <c r="K537" s="13"/>
    </row>
    <row r="538">
      <c r="A538" s="16"/>
      <c r="B538" s="17"/>
      <c r="C538" s="18"/>
      <c r="D538" s="11"/>
      <c r="E538" s="11"/>
      <c r="F538" s="11"/>
      <c r="G538" s="11"/>
      <c r="H538" s="12"/>
      <c r="I538" s="13"/>
      <c r="J538" s="13"/>
      <c r="K538" s="13"/>
    </row>
    <row r="539">
      <c r="A539" s="16"/>
      <c r="B539" s="17"/>
      <c r="C539" s="18"/>
      <c r="D539" s="11"/>
      <c r="E539" s="11"/>
      <c r="F539" s="11"/>
      <c r="G539" s="11"/>
      <c r="H539" s="12"/>
      <c r="I539" s="13"/>
      <c r="J539" s="13"/>
      <c r="K539" s="13"/>
    </row>
    <row r="540">
      <c r="A540" s="16"/>
      <c r="B540" s="17"/>
      <c r="C540" s="18"/>
      <c r="D540" s="11"/>
      <c r="E540" s="11"/>
      <c r="F540" s="11"/>
      <c r="G540" s="11"/>
      <c r="H540" s="12"/>
      <c r="I540" s="13"/>
      <c r="J540" s="13"/>
      <c r="K540" s="13"/>
    </row>
    <row r="541">
      <c r="A541" s="16"/>
      <c r="B541" s="17"/>
      <c r="C541" s="18"/>
      <c r="D541" s="11"/>
      <c r="E541" s="11"/>
      <c r="F541" s="11"/>
      <c r="G541" s="11"/>
      <c r="H541" s="12"/>
      <c r="I541" s="13"/>
      <c r="J541" s="13"/>
      <c r="K541" s="13"/>
    </row>
    <row r="542">
      <c r="A542" s="16"/>
      <c r="B542" s="17"/>
      <c r="C542" s="18"/>
      <c r="D542" s="11"/>
      <c r="E542" s="11"/>
      <c r="F542" s="11"/>
      <c r="G542" s="11"/>
      <c r="H542" s="12"/>
      <c r="I542" s="13"/>
      <c r="J542" s="13"/>
      <c r="K542" s="13"/>
    </row>
    <row r="543">
      <c r="A543" s="16"/>
      <c r="B543" s="17"/>
      <c r="C543" s="18"/>
      <c r="D543" s="11"/>
      <c r="E543" s="11"/>
      <c r="F543" s="11"/>
      <c r="G543" s="11"/>
      <c r="H543" s="12"/>
      <c r="I543" s="13"/>
      <c r="J543" s="13"/>
      <c r="K543" s="13"/>
    </row>
    <row r="544">
      <c r="A544" s="16"/>
      <c r="B544" s="17"/>
      <c r="C544" s="18"/>
      <c r="D544" s="11"/>
      <c r="E544" s="11"/>
      <c r="F544" s="11"/>
      <c r="G544" s="11"/>
      <c r="H544" s="12"/>
      <c r="I544" s="13"/>
      <c r="J544" s="13"/>
      <c r="K544" s="13"/>
    </row>
    <row r="545">
      <c r="A545" s="16"/>
      <c r="B545" s="17"/>
      <c r="C545" s="18"/>
      <c r="D545" s="11"/>
      <c r="E545" s="11"/>
      <c r="F545" s="11"/>
      <c r="G545" s="11"/>
      <c r="H545" s="12"/>
      <c r="I545" s="13"/>
      <c r="J545" s="13"/>
      <c r="K545" s="13"/>
    </row>
    <row r="546">
      <c r="A546" s="16"/>
      <c r="B546" s="17"/>
      <c r="C546" s="18"/>
      <c r="D546" s="11"/>
      <c r="E546" s="11"/>
      <c r="F546" s="11"/>
      <c r="G546" s="11"/>
      <c r="H546" s="12"/>
      <c r="I546" s="13"/>
      <c r="J546" s="13"/>
      <c r="K546" s="13"/>
    </row>
    <row r="547">
      <c r="A547" s="16"/>
      <c r="B547" s="17"/>
      <c r="C547" s="18"/>
      <c r="D547" s="11"/>
      <c r="E547" s="11"/>
      <c r="F547" s="11"/>
      <c r="G547" s="11"/>
      <c r="H547" s="12"/>
      <c r="I547" s="13"/>
      <c r="J547" s="13"/>
      <c r="K547" s="13"/>
    </row>
    <row r="548">
      <c r="A548" s="16"/>
      <c r="B548" s="17"/>
      <c r="C548" s="18"/>
      <c r="D548" s="11"/>
      <c r="E548" s="11"/>
      <c r="F548" s="11"/>
      <c r="G548" s="11"/>
      <c r="H548" s="12"/>
      <c r="I548" s="13"/>
      <c r="J548" s="13"/>
      <c r="K548" s="13"/>
    </row>
    <row r="549">
      <c r="A549" s="16"/>
      <c r="B549" s="17"/>
      <c r="C549" s="18"/>
      <c r="D549" s="11"/>
      <c r="E549" s="11"/>
      <c r="F549" s="11"/>
      <c r="G549" s="11"/>
      <c r="H549" s="12"/>
      <c r="I549" s="13"/>
      <c r="J549" s="13"/>
      <c r="K549" s="13"/>
    </row>
    <row r="550">
      <c r="A550" s="16"/>
      <c r="B550" s="17"/>
      <c r="C550" s="18"/>
      <c r="D550" s="11"/>
      <c r="E550" s="11"/>
      <c r="F550" s="11"/>
      <c r="G550" s="11"/>
      <c r="H550" s="12"/>
      <c r="I550" s="13"/>
      <c r="J550" s="13"/>
      <c r="K550" s="13"/>
    </row>
    <row r="551">
      <c r="A551" s="16"/>
      <c r="B551" s="17"/>
      <c r="C551" s="18"/>
      <c r="D551" s="11"/>
      <c r="E551" s="11"/>
      <c r="F551" s="11"/>
      <c r="G551" s="11"/>
      <c r="H551" s="12"/>
      <c r="I551" s="13"/>
      <c r="J551" s="13"/>
      <c r="K551" s="13"/>
    </row>
    <row r="552">
      <c r="A552" s="16"/>
      <c r="B552" s="17"/>
      <c r="C552" s="18"/>
      <c r="D552" s="11"/>
      <c r="E552" s="11"/>
      <c r="F552" s="11"/>
      <c r="G552" s="11"/>
      <c r="H552" s="12"/>
      <c r="I552" s="13"/>
      <c r="J552" s="13"/>
      <c r="K552" s="13"/>
    </row>
    <row r="553">
      <c r="A553" s="16"/>
      <c r="B553" s="17"/>
      <c r="C553" s="18"/>
      <c r="D553" s="11"/>
      <c r="E553" s="11"/>
      <c r="F553" s="11"/>
      <c r="G553" s="11"/>
      <c r="H553" s="12"/>
      <c r="I553" s="13"/>
      <c r="J553" s="13"/>
      <c r="K553" s="13"/>
    </row>
    <row r="554">
      <c r="A554" s="16"/>
      <c r="B554" s="17"/>
      <c r="C554" s="18"/>
      <c r="D554" s="11"/>
      <c r="E554" s="11"/>
      <c r="F554" s="11"/>
      <c r="G554" s="11"/>
      <c r="H554" s="12"/>
      <c r="I554" s="13"/>
      <c r="J554" s="13"/>
      <c r="K554" s="13"/>
    </row>
    <row r="555">
      <c r="A555" s="16"/>
      <c r="B555" s="17"/>
      <c r="C555" s="18"/>
      <c r="D555" s="11"/>
      <c r="E555" s="11"/>
      <c r="F555" s="11"/>
      <c r="G555" s="11"/>
      <c r="H555" s="12"/>
      <c r="I555" s="13"/>
      <c r="J555" s="13"/>
      <c r="K555" s="13"/>
    </row>
    <row r="556">
      <c r="A556" s="16"/>
      <c r="B556" s="17"/>
      <c r="C556" s="18"/>
      <c r="D556" s="11"/>
      <c r="E556" s="11"/>
      <c r="F556" s="11"/>
      <c r="G556" s="11"/>
      <c r="H556" s="12"/>
      <c r="I556" s="13"/>
      <c r="J556" s="13"/>
      <c r="K556" s="13"/>
    </row>
    <row r="557">
      <c r="A557" s="16"/>
      <c r="B557" s="17"/>
      <c r="C557" s="18"/>
      <c r="D557" s="11"/>
      <c r="E557" s="11"/>
      <c r="F557" s="11"/>
      <c r="G557" s="11"/>
      <c r="H557" s="12"/>
      <c r="I557" s="13"/>
      <c r="J557" s="13"/>
      <c r="K557" s="13"/>
    </row>
    <row r="558">
      <c r="A558" s="16"/>
      <c r="B558" s="17"/>
      <c r="C558" s="18"/>
      <c r="D558" s="11"/>
      <c r="E558" s="11"/>
      <c r="F558" s="11"/>
      <c r="G558" s="11"/>
      <c r="H558" s="12"/>
      <c r="I558" s="13"/>
      <c r="J558" s="13"/>
      <c r="K558" s="13"/>
    </row>
    <row r="559">
      <c r="A559" s="16"/>
      <c r="B559" s="17"/>
      <c r="C559" s="18"/>
      <c r="D559" s="11"/>
      <c r="E559" s="11"/>
      <c r="F559" s="11"/>
      <c r="G559" s="11"/>
      <c r="H559" s="12"/>
      <c r="I559" s="13"/>
      <c r="J559" s="13"/>
      <c r="K559" s="13"/>
    </row>
    <row r="560">
      <c r="A560" s="16"/>
      <c r="B560" s="17"/>
      <c r="C560" s="18"/>
      <c r="D560" s="11"/>
      <c r="E560" s="11"/>
      <c r="F560" s="11"/>
      <c r="G560" s="11"/>
      <c r="H560" s="12"/>
      <c r="I560" s="13"/>
      <c r="J560" s="13"/>
      <c r="K560" s="13"/>
    </row>
    <row r="561">
      <c r="A561" s="16"/>
      <c r="B561" s="17"/>
      <c r="C561" s="18"/>
      <c r="D561" s="11"/>
      <c r="E561" s="11"/>
      <c r="F561" s="11"/>
      <c r="G561" s="11"/>
      <c r="H561" s="12"/>
      <c r="I561" s="13"/>
      <c r="J561" s="13"/>
      <c r="K561" s="13"/>
    </row>
    <row r="562">
      <c r="A562" s="16"/>
      <c r="B562" s="17"/>
      <c r="C562" s="18"/>
      <c r="D562" s="11"/>
      <c r="E562" s="11"/>
      <c r="F562" s="11"/>
      <c r="G562" s="11"/>
      <c r="H562" s="12"/>
      <c r="I562" s="13"/>
      <c r="J562" s="13"/>
      <c r="K562" s="13"/>
    </row>
    <row r="563">
      <c r="A563" s="16"/>
      <c r="B563" s="17"/>
      <c r="C563" s="18"/>
      <c r="D563" s="11"/>
      <c r="E563" s="11"/>
      <c r="F563" s="11"/>
      <c r="G563" s="11"/>
      <c r="H563" s="12"/>
      <c r="I563" s="13"/>
      <c r="J563" s="13"/>
      <c r="K563" s="13"/>
    </row>
    <row r="564">
      <c r="A564" s="16"/>
      <c r="B564" s="17"/>
      <c r="C564" s="18"/>
      <c r="D564" s="11"/>
      <c r="E564" s="11"/>
      <c r="F564" s="11"/>
      <c r="G564" s="11"/>
      <c r="H564" s="12"/>
      <c r="I564" s="13"/>
      <c r="J564" s="13"/>
      <c r="K564" s="13"/>
    </row>
    <row r="565">
      <c r="A565" s="16"/>
      <c r="B565" s="17"/>
      <c r="C565" s="18"/>
      <c r="D565" s="11"/>
      <c r="E565" s="11"/>
      <c r="F565" s="11"/>
      <c r="G565" s="11"/>
      <c r="H565" s="12"/>
      <c r="I565" s="13"/>
      <c r="J565" s="13"/>
      <c r="K565" s="13"/>
    </row>
    <row r="566">
      <c r="A566" s="16"/>
      <c r="B566" s="17"/>
      <c r="C566" s="18"/>
      <c r="D566" s="11"/>
      <c r="E566" s="11"/>
      <c r="F566" s="11"/>
      <c r="G566" s="11"/>
      <c r="H566" s="12"/>
      <c r="I566" s="13"/>
      <c r="J566" s="13"/>
      <c r="K566" s="13"/>
    </row>
    <row r="567">
      <c r="A567" s="16"/>
      <c r="B567" s="17"/>
      <c r="C567" s="18"/>
      <c r="D567" s="11"/>
      <c r="E567" s="11"/>
      <c r="F567" s="11"/>
      <c r="G567" s="11"/>
      <c r="H567" s="12"/>
      <c r="I567" s="13"/>
      <c r="J567" s="13"/>
      <c r="K567" s="13"/>
    </row>
    <row r="568">
      <c r="A568" s="16"/>
      <c r="B568" s="17"/>
      <c r="C568" s="18"/>
      <c r="D568" s="11"/>
      <c r="E568" s="11"/>
      <c r="F568" s="11"/>
      <c r="G568" s="11"/>
      <c r="H568" s="12"/>
      <c r="I568" s="13"/>
      <c r="J568" s="13"/>
      <c r="K568" s="13"/>
    </row>
    <row r="569">
      <c r="A569" s="16"/>
      <c r="B569" s="17"/>
      <c r="C569" s="18"/>
      <c r="D569" s="11"/>
      <c r="E569" s="11"/>
      <c r="F569" s="11"/>
      <c r="G569" s="11"/>
      <c r="H569" s="12"/>
      <c r="I569" s="13"/>
      <c r="J569" s="13"/>
      <c r="K569" s="13"/>
    </row>
    <row r="570">
      <c r="A570" s="16"/>
      <c r="B570" s="17"/>
      <c r="C570" s="18"/>
      <c r="D570" s="11"/>
      <c r="E570" s="11"/>
      <c r="F570" s="11"/>
      <c r="G570" s="11"/>
      <c r="H570" s="12"/>
      <c r="I570" s="13"/>
      <c r="J570" s="13"/>
      <c r="K570" s="13"/>
    </row>
    <row r="571">
      <c r="A571" s="16"/>
      <c r="B571" s="17"/>
      <c r="C571" s="18"/>
      <c r="D571" s="11"/>
      <c r="E571" s="11"/>
      <c r="F571" s="11"/>
      <c r="G571" s="11"/>
      <c r="H571" s="12"/>
      <c r="I571" s="13"/>
      <c r="J571" s="13"/>
      <c r="K571" s="13"/>
    </row>
    <row r="572">
      <c r="A572" s="16"/>
      <c r="B572" s="17"/>
      <c r="C572" s="18"/>
      <c r="D572" s="11"/>
      <c r="E572" s="11"/>
      <c r="F572" s="11"/>
      <c r="G572" s="11"/>
      <c r="H572" s="12"/>
      <c r="I572" s="13"/>
      <c r="J572" s="13"/>
      <c r="K572" s="13"/>
    </row>
    <row r="573">
      <c r="A573" s="16"/>
      <c r="B573" s="17"/>
      <c r="C573" s="18"/>
      <c r="D573" s="11"/>
      <c r="E573" s="11"/>
      <c r="F573" s="11"/>
      <c r="G573" s="11"/>
      <c r="H573" s="12"/>
      <c r="I573" s="13"/>
      <c r="J573" s="13"/>
      <c r="K573" s="13"/>
    </row>
    <row r="574">
      <c r="A574" s="16"/>
      <c r="B574" s="17"/>
      <c r="C574" s="18"/>
      <c r="D574" s="11"/>
      <c r="E574" s="11"/>
      <c r="F574" s="11"/>
      <c r="G574" s="11"/>
      <c r="H574" s="12"/>
      <c r="I574" s="13"/>
      <c r="J574" s="13"/>
      <c r="K574" s="13"/>
    </row>
    <row r="575">
      <c r="A575" s="16"/>
      <c r="B575" s="17"/>
      <c r="C575" s="18"/>
      <c r="D575" s="11"/>
      <c r="E575" s="11"/>
      <c r="F575" s="11"/>
      <c r="G575" s="11"/>
      <c r="H575" s="12"/>
      <c r="I575" s="13"/>
      <c r="J575" s="13"/>
      <c r="K575" s="13"/>
    </row>
    <row r="576">
      <c r="A576" s="16"/>
      <c r="B576" s="17"/>
      <c r="C576" s="18"/>
      <c r="D576" s="11"/>
      <c r="E576" s="11"/>
      <c r="F576" s="11"/>
      <c r="G576" s="11"/>
      <c r="H576" s="12"/>
      <c r="I576" s="13"/>
      <c r="J576" s="13"/>
      <c r="K576" s="13"/>
    </row>
    <row r="577">
      <c r="A577" s="16"/>
      <c r="B577" s="17"/>
      <c r="C577" s="18"/>
      <c r="D577" s="11"/>
      <c r="E577" s="11"/>
      <c r="F577" s="11"/>
      <c r="G577" s="11"/>
      <c r="H577" s="12"/>
      <c r="I577" s="13"/>
      <c r="J577" s="13"/>
      <c r="K577" s="13"/>
    </row>
    <row r="578">
      <c r="A578" s="16"/>
      <c r="B578" s="17"/>
      <c r="C578" s="18"/>
      <c r="D578" s="11"/>
      <c r="E578" s="11"/>
      <c r="F578" s="11"/>
      <c r="G578" s="11"/>
      <c r="H578" s="12"/>
      <c r="I578" s="13"/>
      <c r="J578" s="13"/>
      <c r="K578" s="13"/>
    </row>
    <row r="579">
      <c r="A579" s="16"/>
      <c r="B579" s="17"/>
      <c r="C579" s="18"/>
      <c r="D579" s="11"/>
      <c r="E579" s="11"/>
      <c r="F579" s="11"/>
      <c r="G579" s="11"/>
      <c r="H579" s="12"/>
      <c r="I579" s="13"/>
      <c r="J579" s="13"/>
      <c r="K579" s="13"/>
    </row>
    <row r="580">
      <c r="A580" s="16"/>
      <c r="B580" s="17"/>
      <c r="C580" s="18"/>
      <c r="D580" s="11"/>
      <c r="E580" s="11"/>
      <c r="F580" s="11"/>
      <c r="G580" s="11"/>
      <c r="H580" s="12"/>
      <c r="I580" s="13"/>
      <c r="J580" s="13"/>
      <c r="K580" s="13"/>
    </row>
    <row r="581">
      <c r="A581" s="16"/>
      <c r="B581" s="17"/>
      <c r="C581" s="18"/>
      <c r="D581" s="11"/>
      <c r="E581" s="11"/>
      <c r="F581" s="11"/>
      <c r="G581" s="11"/>
      <c r="H581" s="12"/>
      <c r="I581" s="13"/>
      <c r="J581" s="13"/>
      <c r="K581" s="13"/>
    </row>
    <row r="582">
      <c r="A582" s="16"/>
      <c r="B582" s="17"/>
      <c r="C582" s="18"/>
      <c r="D582" s="11"/>
      <c r="E582" s="11"/>
      <c r="F582" s="11"/>
      <c r="G582" s="11"/>
      <c r="H582" s="12"/>
      <c r="I582" s="13"/>
      <c r="J582" s="13"/>
      <c r="K582" s="13"/>
    </row>
    <row r="583">
      <c r="A583" s="16"/>
      <c r="B583" s="17"/>
      <c r="C583" s="18"/>
      <c r="D583" s="11"/>
      <c r="E583" s="11"/>
      <c r="F583" s="11"/>
      <c r="G583" s="11"/>
      <c r="H583" s="12"/>
      <c r="I583" s="13"/>
      <c r="J583" s="13"/>
      <c r="K583" s="13"/>
    </row>
    <row r="584">
      <c r="A584" s="16"/>
      <c r="B584" s="17"/>
      <c r="C584" s="18"/>
      <c r="D584" s="11"/>
      <c r="E584" s="11"/>
      <c r="F584" s="11"/>
      <c r="G584" s="11"/>
      <c r="H584" s="12"/>
      <c r="I584" s="13"/>
      <c r="J584" s="13"/>
      <c r="K584" s="13"/>
    </row>
    <row r="585">
      <c r="A585" s="16"/>
      <c r="B585" s="17"/>
      <c r="C585" s="18"/>
      <c r="D585" s="11"/>
      <c r="E585" s="11"/>
      <c r="F585" s="11"/>
      <c r="G585" s="11"/>
      <c r="H585" s="12"/>
      <c r="I585" s="13"/>
      <c r="J585" s="13"/>
      <c r="K585" s="13"/>
    </row>
    <row r="586">
      <c r="A586" s="16"/>
      <c r="B586" s="17"/>
      <c r="C586" s="18"/>
      <c r="D586" s="11"/>
      <c r="E586" s="11"/>
      <c r="F586" s="11"/>
      <c r="G586" s="11"/>
      <c r="H586" s="12"/>
      <c r="I586" s="13"/>
      <c r="J586" s="13"/>
      <c r="K586" s="13"/>
    </row>
    <row r="587">
      <c r="A587" s="16"/>
      <c r="B587" s="17"/>
      <c r="C587" s="18"/>
      <c r="D587" s="11"/>
      <c r="E587" s="11"/>
      <c r="F587" s="11"/>
      <c r="G587" s="11"/>
      <c r="H587" s="12"/>
      <c r="I587" s="13"/>
      <c r="J587" s="13"/>
      <c r="K587" s="13"/>
    </row>
    <row r="588">
      <c r="A588" s="16"/>
      <c r="B588" s="17"/>
      <c r="C588" s="18"/>
      <c r="D588" s="11"/>
      <c r="E588" s="11"/>
      <c r="F588" s="11"/>
      <c r="G588" s="11"/>
      <c r="H588" s="12"/>
      <c r="I588" s="13"/>
      <c r="J588" s="13"/>
      <c r="K588" s="13"/>
    </row>
    <row r="589">
      <c r="A589" s="16"/>
      <c r="B589" s="17"/>
      <c r="C589" s="18"/>
      <c r="D589" s="11"/>
      <c r="E589" s="11"/>
      <c r="F589" s="11"/>
      <c r="G589" s="11"/>
      <c r="H589" s="12"/>
      <c r="I589" s="13"/>
      <c r="J589" s="13"/>
      <c r="K589" s="13"/>
    </row>
    <row r="590">
      <c r="A590" s="16"/>
      <c r="B590" s="17"/>
      <c r="C590" s="18"/>
      <c r="D590" s="11"/>
      <c r="E590" s="11"/>
      <c r="F590" s="11"/>
      <c r="G590" s="11"/>
      <c r="H590" s="12"/>
      <c r="I590" s="13"/>
      <c r="J590" s="13"/>
      <c r="K590" s="13"/>
    </row>
    <row r="591">
      <c r="A591" s="16"/>
      <c r="B591" s="17"/>
      <c r="C591" s="18"/>
      <c r="D591" s="11"/>
      <c r="E591" s="11"/>
      <c r="F591" s="11"/>
      <c r="G591" s="11"/>
      <c r="H591" s="12"/>
      <c r="I591" s="13"/>
      <c r="J591" s="13"/>
      <c r="K591" s="13"/>
    </row>
    <row r="592">
      <c r="A592" s="16"/>
      <c r="B592" s="17"/>
      <c r="C592" s="18"/>
      <c r="D592" s="11"/>
      <c r="E592" s="11"/>
      <c r="F592" s="11"/>
      <c r="G592" s="11"/>
      <c r="H592" s="12"/>
      <c r="I592" s="13"/>
      <c r="J592" s="13"/>
      <c r="K592" s="13"/>
    </row>
    <row r="593">
      <c r="A593" s="16"/>
      <c r="B593" s="17"/>
      <c r="C593" s="18"/>
      <c r="D593" s="11"/>
      <c r="E593" s="11"/>
      <c r="F593" s="11"/>
      <c r="G593" s="11"/>
      <c r="H593" s="12"/>
      <c r="I593" s="13"/>
      <c r="J593" s="13"/>
      <c r="K593" s="13"/>
    </row>
    <row r="594">
      <c r="A594" s="16"/>
      <c r="B594" s="17"/>
      <c r="C594" s="18"/>
      <c r="D594" s="11"/>
      <c r="E594" s="11"/>
      <c r="F594" s="11"/>
      <c r="G594" s="11"/>
      <c r="H594" s="12"/>
      <c r="I594" s="13"/>
      <c r="J594" s="13"/>
      <c r="K594" s="13"/>
    </row>
    <row r="595">
      <c r="A595" s="16"/>
      <c r="B595" s="17"/>
      <c r="C595" s="18"/>
      <c r="D595" s="11"/>
      <c r="E595" s="11"/>
      <c r="F595" s="11"/>
      <c r="G595" s="11"/>
      <c r="H595" s="12"/>
      <c r="I595" s="13"/>
      <c r="J595" s="13"/>
      <c r="K595" s="13"/>
    </row>
    <row r="596">
      <c r="A596" s="16"/>
      <c r="B596" s="17"/>
      <c r="C596" s="18"/>
      <c r="D596" s="11"/>
      <c r="E596" s="11"/>
      <c r="F596" s="11"/>
      <c r="G596" s="11"/>
      <c r="H596" s="12"/>
      <c r="I596" s="13"/>
      <c r="J596" s="13"/>
      <c r="K596" s="13"/>
    </row>
    <row r="597">
      <c r="A597" s="16"/>
      <c r="B597" s="17"/>
      <c r="C597" s="18"/>
      <c r="D597" s="11"/>
      <c r="E597" s="11"/>
      <c r="F597" s="11"/>
      <c r="G597" s="11"/>
      <c r="H597" s="12"/>
      <c r="I597" s="13"/>
      <c r="J597" s="13"/>
      <c r="K597" s="13"/>
    </row>
    <row r="598">
      <c r="A598" s="16"/>
      <c r="B598" s="17"/>
      <c r="C598" s="18"/>
      <c r="D598" s="11"/>
      <c r="E598" s="11"/>
      <c r="F598" s="11"/>
      <c r="G598" s="11"/>
      <c r="H598" s="12"/>
      <c r="I598" s="13"/>
      <c r="J598" s="13"/>
      <c r="K598" s="13"/>
    </row>
    <row r="599">
      <c r="A599" s="16"/>
      <c r="B599" s="17"/>
      <c r="C599" s="18"/>
      <c r="D599" s="11"/>
      <c r="E599" s="11"/>
      <c r="F599" s="11"/>
      <c r="G599" s="11"/>
      <c r="H599" s="12"/>
      <c r="I599" s="13"/>
      <c r="J599" s="13"/>
      <c r="K599" s="13"/>
    </row>
    <row r="600">
      <c r="A600" s="16"/>
      <c r="B600" s="17"/>
      <c r="C600" s="18"/>
      <c r="D600" s="11"/>
      <c r="E600" s="11"/>
      <c r="F600" s="11"/>
      <c r="G600" s="11"/>
      <c r="H600" s="12"/>
      <c r="I600" s="13"/>
      <c r="J600" s="13"/>
      <c r="K600" s="13"/>
    </row>
    <row r="601">
      <c r="A601" s="16"/>
      <c r="B601" s="17"/>
      <c r="C601" s="18"/>
      <c r="D601" s="11"/>
      <c r="E601" s="11"/>
      <c r="F601" s="11"/>
      <c r="G601" s="11"/>
      <c r="H601" s="12"/>
      <c r="I601" s="13"/>
      <c r="J601" s="13"/>
      <c r="K601" s="13"/>
    </row>
    <row r="602">
      <c r="A602" s="16"/>
      <c r="B602" s="17"/>
      <c r="C602" s="18"/>
      <c r="D602" s="11"/>
      <c r="E602" s="11"/>
      <c r="F602" s="11"/>
      <c r="G602" s="11"/>
      <c r="H602" s="12"/>
      <c r="I602" s="13"/>
      <c r="J602" s="13"/>
      <c r="K602" s="13"/>
    </row>
    <row r="603">
      <c r="A603" s="16"/>
      <c r="B603" s="17"/>
      <c r="C603" s="18"/>
      <c r="D603" s="11"/>
      <c r="E603" s="11"/>
      <c r="F603" s="11"/>
      <c r="G603" s="11"/>
      <c r="H603" s="12"/>
      <c r="I603" s="13"/>
      <c r="J603" s="13"/>
      <c r="K603" s="13"/>
    </row>
    <row r="604">
      <c r="A604" s="16"/>
      <c r="B604" s="17"/>
      <c r="C604" s="18"/>
      <c r="D604" s="11"/>
      <c r="E604" s="11"/>
      <c r="F604" s="11"/>
      <c r="G604" s="11"/>
      <c r="H604" s="12"/>
      <c r="I604" s="13"/>
      <c r="J604" s="13"/>
      <c r="K604" s="13"/>
    </row>
    <row r="605">
      <c r="A605" s="16"/>
      <c r="B605" s="17"/>
      <c r="C605" s="18"/>
      <c r="D605" s="11"/>
      <c r="E605" s="11"/>
      <c r="F605" s="11"/>
      <c r="G605" s="11"/>
      <c r="H605" s="12"/>
      <c r="I605" s="13"/>
      <c r="J605" s="13"/>
      <c r="K605" s="13"/>
    </row>
    <row r="606">
      <c r="A606" s="16"/>
      <c r="B606" s="17"/>
      <c r="C606" s="18"/>
      <c r="D606" s="11"/>
      <c r="E606" s="11"/>
      <c r="F606" s="11"/>
      <c r="G606" s="11"/>
      <c r="H606" s="12"/>
      <c r="I606" s="13"/>
      <c r="J606" s="13"/>
      <c r="K606" s="13"/>
    </row>
    <row r="607">
      <c r="A607" s="16"/>
      <c r="B607" s="17"/>
      <c r="C607" s="18"/>
      <c r="D607" s="11"/>
      <c r="E607" s="11"/>
      <c r="F607" s="11"/>
      <c r="G607" s="11"/>
      <c r="H607" s="12"/>
      <c r="I607" s="13"/>
      <c r="J607" s="13"/>
      <c r="K607" s="13"/>
    </row>
    <row r="608">
      <c r="A608" s="16"/>
      <c r="B608" s="17"/>
      <c r="C608" s="18"/>
      <c r="D608" s="11"/>
      <c r="E608" s="11"/>
      <c r="F608" s="11"/>
      <c r="G608" s="11"/>
      <c r="H608" s="12"/>
      <c r="I608" s="13"/>
      <c r="J608" s="13"/>
      <c r="K608" s="13"/>
    </row>
    <row r="609">
      <c r="A609" s="16"/>
      <c r="B609" s="17"/>
      <c r="C609" s="18"/>
      <c r="D609" s="11"/>
      <c r="E609" s="11"/>
      <c r="F609" s="11"/>
      <c r="G609" s="11"/>
      <c r="H609" s="12"/>
      <c r="I609" s="13"/>
      <c r="J609" s="13"/>
      <c r="K609" s="13"/>
    </row>
    <row r="610">
      <c r="A610" s="16"/>
      <c r="B610" s="17"/>
      <c r="C610" s="18"/>
      <c r="D610" s="11"/>
      <c r="E610" s="11"/>
      <c r="F610" s="11"/>
      <c r="G610" s="11"/>
      <c r="H610" s="12"/>
      <c r="I610" s="13"/>
      <c r="J610" s="13"/>
      <c r="K610" s="13"/>
    </row>
    <row r="611">
      <c r="A611" s="16"/>
      <c r="B611" s="17"/>
      <c r="C611" s="18"/>
      <c r="D611" s="11"/>
      <c r="E611" s="11"/>
      <c r="F611" s="11"/>
      <c r="G611" s="11"/>
      <c r="H611" s="12"/>
      <c r="I611" s="13"/>
      <c r="J611" s="13"/>
      <c r="K611" s="13"/>
    </row>
    <row r="612">
      <c r="A612" s="16"/>
      <c r="B612" s="17"/>
      <c r="C612" s="18"/>
      <c r="D612" s="11"/>
      <c r="E612" s="11"/>
      <c r="F612" s="11"/>
      <c r="G612" s="11"/>
      <c r="H612" s="12"/>
      <c r="I612" s="13"/>
      <c r="J612" s="13"/>
      <c r="K612" s="13"/>
    </row>
    <row r="613">
      <c r="A613" s="16"/>
      <c r="B613" s="17"/>
      <c r="C613" s="18"/>
      <c r="D613" s="11"/>
      <c r="E613" s="11"/>
      <c r="F613" s="11"/>
      <c r="G613" s="11"/>
      <c r="H613" s="12"/>
      <c r="I613" s="13"/>
      <c r="J613" s="13"/>
      <c r="K613" s="13"/>
    </row>
    <row r="614">
      <c r="A614" s="16"/>
      <c r="B614" s="17"/>
      <c r="C614" s="18"/>
      <c r="D614" s="11"/>
      <c r="E614" s="11"/>
      <c r="F614" s="11"/>
      <c r="G614" s="11"/>
      <c r="H614" s="12"/>
      <c r="I614" s="13"/>
      <c r="J614" s="13"/>
      <c r="K614" s="13"/>
    </row>
    <row r="615">
      <c r="A615" s="16"/>
      <c r="B615" s="17"/>
      <c r="C615" s="18"/>
      <c r="D615" s="11"/>
      <c r="E615" s="11"/>
      <c r="F615" s="11"/>
      <c r="G615" s="11"/>
      <c r="H615" s="12"/>
      <c r="I615" s="13"/>
      <c r="J615" s="13"/>
      <c r="K615" s="13"/>
    </row>
    <row r="616">
      <c r="A616" s="16"/>
      <c r="B616" s="17"/>
      <c r="C616" s="18"/>
      <c r="D616" s="11"/>
      <c r="E616" s="11"/>
      <c r="F616" s="11"/>
      <c r="G616" s="11"/>
      <c r="H616" s="12"/>
      <c r="I616" s="13"/>
      <c r="J616" s="13"/>
      <c r="K616" s="13"/>
    </row>
    <row r="617">
      <c r="A617" s="16"/>
      <c r="B617" s="17"/>
      <c r="C617" s="18"/>
      <c r="D617" s="11"/>
      <c r="E617" s="11"/>
      <c r="F617" s="11"/>
      <c r="G617" s="11"/>
      <c r="H617" s="12"/>
      <c r="I617" s="13"/>
      <c r="J617" s="13"/>
      <c r="K617" s="13"/>
    </row>
    <row r="618">
      <c r="A618" s="16"/>
      <c r="B618" s="17"/>
      <c r="C618" s="18"/>
      <c r="D618" s="11"/>
      <c r="E618" s="11"/>
      <c r="F618" s="11"/>
      <c r="G618" s="11"/>
      <c r="H618" s="12"/>
      <c r="I618" s="13"/>
      <c r="J618" s="13"/>
      <c r="K618" s="13"/>
    </row>
    <row r="619">
      <c r="A619" s="16"/>
      <c r="B619" s="17"/>
      <c r="C619" s="18"/>
      <c r="D619" s="11"/>
      <c r="E619" s="11"/>
      <c r="F619" s="11"/>
      <c r="G619" s="11"/>
      <c r="H619" s="12"/>
      <c r="I619" s="13"/>
      <c r="J619" s="13"/>
      <c r="K619" s="13"/>
    </row>
    <row r="620">
      <c r="A620" s="16"/>
      <c r="B620" s="17"/>
      <c r="C620" s="18"/>
      <c r="D620" s="11"/>
      <c r="E620" s="11"/>
      <c r="F620" s="11"/>
      <c r="G620" s="11"/>
      <c r="H620" s="12"/>
      <c r="I620" s="13"/>
      <c r="J620" s="13"/>
      <c r="K620" s="13"/>
    </row>
    <row r="621">
      <c r="A621" s="16"/>
      <c r="B621" s="17"/>
      <c r="C621" s="18"/>
      <c r="D621" s="11"/>
      <c r="E621" s="11"/>
      <c r="F621" s="11"/>
      <c r="G621" s="11"/>
      <c r="H621" s="12"/>
      <c r="I621" s="13"/>
      <c r="J621" s="13"/>
      <c r="K621" s="13"/>
    </row>
    <row r="622">
      <c r="A622" s="16"/>
      <c r="B622" s="17"/>
      <c r="C622" s="18"/>
      <c r="D622" s="11"/>
      <c r="E622" s="11"/>
      <c r="F622" s="11"/>
      <c r="G622" s="11"/>
      <c r="H622" s="12"/>
      <c r="I622" s="13"/>
      <c r="J622" s="13"/>
      <c r="K622" s="13"/>
    </row>
    <row r="623">
      <c r="A623" s="16"/>
      <c r="B623" s="17"/>
      <c r="C623" s="18"/>
      <c r="D623" s="11"/>
      <c r="E623" s="11"/>
      <c r="F623" s="11"/>
      <c r="G623" s="11"/>
      <c r="H623" s="12"/>
      <c r="I623" s="13"/>
      <c r="J623" s="13"/>
      <c r="K623" s="13"/>
    </row>
    <row r="624">
      <c r="A624" s="16"/>
      <c r="B624" s="17"/>
      <c r="C624" s="18"/>
      <c r="D624" s="11"/>
      <c r="E624" s="11"/>
      <c r="F624" s="11"/>
      <c r="G624" s="11"/>
      <c r="H624" s="12"/>
      <c r="I624" s="13"/>
      <c r="J624" s="13"/>
      <c r="K624" s="13"/>
    </row>
    <row r="625">
      <c r="A625" s="16"/>
      <c r="B625" s="17"/>
      <c r="C625" s="18"/>
      <c r="D625" s="11"/>
      <c r="E625" s="11"/>
      <c r="F625" s="11"/>
      <c r="G625" s="11"/>
      <c r="H625" s="12"/>
      <c r="I625" s="13"/>
      <c r="J625" s="13"/>
      <c r="K625" s="13"/>
    </row>
    <row r="626">
      <c r="A626" s="16"/>
      <c r="B626" s="17"/>
      <c r="C626" s="18"/>
      <c r="D626" s="11"/>
      <c r="E626" s="11"/>
      <c r="F626" s="11"/>
      <c r="G626" s="11"/>
      <c r="H626" s="12"/>
      <c r="I626" s="13"/>
      <c r="J626" s="13"/>
      <c r="K626" s="13"/>
    </row>
    <row r="627">
      <c r="A627" s="16"/>
      <c r="B627" s="17"/>
      <c r="C627" s="18"/>
      <c r="D627" s="11"/>
      <c r="E627" s="11"/>
      <c r="F627" s="11"/>
      <c r="G627" s="11"/>
      <c r="H627" s="12"/>
      <c r="I627" s="13"/>
      <c r="J627" s="13"/>
      <c r="K627" s="13"/>
    </row>
    <row r="628">
      <c r="A628" s="16"/>
      <c r="B628" s="17"/>
      <c r="C628" s="18"/>
      <c r="D628" s="11"/>
      <c r="E628" s="11"/>
      <c r="F628" s="11"/>
      <c r="G628" s="11"/>
      <c r="H628" s="12"/>
      <c r="I628" s="13"/>
      <c r="J628" s="13"/>
      <c r="K628" s="13"/>
    </row>
    <row r="629">
      <c r="A629" s="16"/>
      <c r="B629" s="17"/>
      <c r="C629" s="18"/>
      <c r="D629" s="11"/>
      <c r="E629" s="11"/>
      <c r="F629" s="11"/>
      <c r="G629" s="11"/>
      <c r="H629" s="12"/>
      <c r="I629" s="13"/>
      <c r="J629" s="13"/>
      <c r="K629" s="13"/>
    </row>
    <row r="630">
      <c r="A630" s="16"/>
      <c r="B630" s="17"/>
      <c r="C630" s="18"/>
      <c r="D630" s="11"/>
      <c r="E630" s="11"/>
      <c r="F630" s="11"/>
      <c r="G630" s="11"/>
      <c r="H630" s="12"/>
      <c r="I630" s="13"/>
      <c r="J630" s="13"/>
      <c r="K630" s="13"/>
    </row>
    <row r="631">
      <c r="A631" s="16"/>
      <c r="B631" s="17"/>
      <c r="C631" s="18"/>
      <c r="D631" s="11"/>
      <c r="E631" s="11"/>
      <c r="F631" s="11"/>
      <c r="G631" s="11"/>
      <c r="H631" s="12"/>
      <c r="I631" s="13"/>
      <c r="J631" s="13"/>
      <c r="K631" s="13"/>
    </row>
    <row r="632">
      <c r="A632" s="16"/>
      <c r="B632" s="17"/>
      <c r="C632" s="18"/>
      <c r="D632" s="11"/>
      <c r="E632" s="11"/>
      <c r="F632" s="11"/>
      <c r="G632" s="11"/>
      <c r="H632" s="12"/>
      <c r="I632" s="13"/>
      <c r="J632" s="13"/>
      <c r="K632" s="13"/>
    </row>
    <row r="633">
      <c r="A633" s="16"/>
      <c r="B633" s="17"/>
      <c r="C633" s="18"/>
      <c r="D633" s="11"/>
      <c r="E633" s="11"/>
      <c r="F633" s="11"/>
      <c r="G633" s="11"/>
      <c r="H633" s="12"/>
      <c r="I633" s="13"/>
      <c r="J633" s="13"/>
      <c r="K633" s="13"/>
    </row>
    <row r="634">
      <c r="A634" s="16"/>
      <c r="B634" s="17"/>
      <c r="C634" s="18"/>
      <c r="D634" s="11"/>
      <c r="E634" s="11"/>
      <c r="F634" s="11"/>
      <c r="G634" s="11"/>
      <c r="H634" s="12"/>
      <c r="I634" s="13"/>
      <c r="J634" s="13"/>
      <c r="K634" s="13"/>
    </row>
    <row r="635">
      <c r="A635" s="16"/>
      <c r="B635" s="17"/>
      <c r="C635" s="18"/>
      <c r="D635" s="11"/>
      <c r="E635" s="11"/>
      <c r="F635" s="11"/>
      <c r="G635" s="11"/>
      <c r="H635" s="12"/>
      <c r="I635" s="13"/>
      <c r="J635" s="13"/>
      <c r="K635" s="13"/>
    </row>
    <row r="636">
      <c r="A636" s="16"/>
      <c r="B636" s="17"/>
      <c r="C636" s="18"/>
      <c r="D636" s="11"/>
      <c r="E636" s="11"/>
      <c r="F636" s="11"/>
      <c r="G636" s="11"/>
      <c r="H636" s="12"/>
      <c r="I636" s="13"/>
      <c r="J636" s="13"/>
      <c r="K636" s="13"/>
    </row>
    <row r="637">
      <c r="A637" s="16"/>
      <c r="B637" s="17"/>
      <c r="C637" s="18"/>
      <c r="D637" s="11"/>
      <c r="E637" s="11"/>
      <c r="F637" s="11"/>
      <c r="G637" s="11"/>
      <c r="H637" s="12"/>
      <c r="I637" s="13"/>
      <c r="J637" s="13"/>
      <c r="K637" s="13"/>
    </row>
    <row r="638">
      <c r="A638" s="16"/>
      <c r="B638" s="17"/>
      <c r="C638" s="18"/>
      <c r="D638" s="11"/>
      <c r="E638" s="11"/>
      <c r="F638" s="11"/>
      <c r="G638" s="11"/>
      <c r="H638" s="12"/>
      <c r="I638" s="13"/>
      <c r="J638" s="13"/>
      <c r="K638" s="13"/>
    </row>
    <row r="639">
      <c r="A639" s="16"/>
      <c r="B639" s="17"/>
      <c r="C639" s="18"/>
      <c r="D639" s="11"/>
      <c r="E639" s="11"/>
      <c r="F639" s="11"/>
      <c r="G639" s="11"/>
      <c r="H639" s="12"/>
      <c r="I639" s="13"/>
      <c r="J639" s="13"/>
      <c r="K639" s="13"/>
    </row>
    <row r="640">
      <c r="A640" s="16"/>
      <c r="B640" s="17"/>
      <c r="C640" s="18"/>
      <c r="D640" s="11"/>
      <c r="E640" s="11"/>
      <c r="F640" s="11"/>
      <c r="G640" s="11"/>
      <c r="H640" s="12"/>
      <c r="I640" s="13"/>
      <c r="J640" s="13"/>
      <c r="K640" s="13"/>
    </row>
    <row r="641">
      <c r="A641" s="16"/>
      <c r="B641" s="17"/>
      <c r="C641" s="18"/>
      <c r="D641" s="11"/>
      <c r="E641" s="11"/>
      <c r="F641" s="11"/>
      <c r="G641" s="11"/>
      <c r="H641" s="12"/>
      <c r="I641" s="13"/>
      <c r="J641" s="13"/>
      <c r="K641" s="13"/>
    </row>
    <row r="642">
      <c r="A642" s="16"/>
      <c r="B642" s="17"/>
      <c r="C642" s="18"/>
      <c r="D642" s="11"/>
      <c r="E642" s="11"/>
      <c r="F642" s="11"/>
      <c r="G642" s="11"/>
      <c r="H642" s="12"/>
      <c r="I642" s="13"/>
      <c r="J642" s="13"/>
      <c r="K642" s="13"/>
    </row>
    <row r="643">
      <c r="A643" s="16"/>
      <c r="B643" s="17"/>
      <c r="C643" s="18"/>
      <c r="D643" s="11"/>
      <c r="E643" s="11"/>
      <c r="F643" s="11"/>
      <c r="G643" s="11"/>
      <c r="H643" s="12"/>
      <c r="I643" s="13"/>
      <c r="J643" s="13"/>
      <c r="K643" s="13"/>
    </row>
    <row r="644">
      <c r="A644" s="16"/>
      <c r="B644" s="17"/>
      <c r="C644" s="18"/>
      <c r="D644" s="11"/>
      <c r="E644" s="11"/>
      <c r="F644" s="11"/>
      <c r="G644" s="11"/>
      <c r="H644" s="12"/>
      <c r="I644" s="13"/>
      <c r="J644" s="13"/>
      <c r="K644" s="13"/>
    </row>
    <row r="645">
      <c r="A645" s="16"/>
      <c r="B645" s="17"/>
      <c r="C645" s="18"/>
      <c r="D645" s="11"/>
      <c r="E645" s="11"/>
      <c r="F645" s="11"/>
      <c r="G645" s="11"/>
      <c r="H645" s="12"/>
      <c r="I645" s="13"/>
      <c r="J645" s="13"/>
      <c r="K645" s="13"/>
    </row>
    <row r="646">
      <c r="A646" s="16"/>
      <c r="B646" s="17"/>
      <c r="C646" s="18"/>
      <c r="D646" s="11"/>
      <c r="E646" s="11"/>
      <c r="F646" s="11"/>
      <c r="G646" s="11"/>
      <c r="H646" s="12"/>
      <c r="I646" s="13"/>
      <c r="J646" s="13"/>
      <c r="K646" s="13"/>
    </row>
    <row r="647">
      <c r="A647" s="16"/>
      <c r="B647" s="17"/>
      <c r="C647" s="18"/>
      <c r="D647" s="11"/>
      <c r="E647" s="11"/>
      <c r="F647" s="11"/>
      <c r="G647" s="11"/>
      <c r="H647" s="12"/>
      <c r="I647" s="13"/>
      <c r="J647" s="13"/>
      <c r="K647" s="13"/>
    </row>
    <row r="648">
      <c r="A648" s="16"/>
      <c r="B648" s="17"/>
      <c r="C648" s="18"/>
      <c r="D648" s="11"/>
      <c r="E648" s="11"/>
      <c r="F648" s="11"/>
      <c r="G648" s="11"/>
      <c r="H648" s="12"/>
      <c r="I648" s="13"/>
      <c r="J648" s="13"/>
      <c r="K648" s="13"/>
    </row>
    <row r="649">
      <c r="A649" s="16"/>
      <c r="B649" s="17"/>
      <c r="C649" s="18"/>
      <c r="D649" s="11"/>
      <c r="E649" s="11"/>
      <c r="F649" s="11"/>
      <c r="G649" s="11"/>
      <c r="H649" s="12"/>
      <c r="I649" s="13"/>
      <c r="J649" s="13"/>
      <c r="K649" s="13"/>
    </row>
    <row r="650">
      <c r="A650" s="16"/>
      <c r="B650" s="17"/>
      <c r="C650" s="18"/>
      <c r="D650" s="11"/>
      <c r="E650" s="11"/>
      <c r="F650" s="11"/>
      <c r="G650" s="11"/>
      <c r="H650" s="12"/>
      <c r="I650" s="13"/>
      <c r="J650" s="13"/>
      <c r="K650" s="13"/>
    </row>
    <row r="651">
      <c r="A651" s="16"/>
      <c r="B651" s="17"/>
      <c r="C651" s="18"/>
      <c r="D651" s="11"/>
      <c r="E651" s="11"/>
      <c r="F651" s="11"/>
      <c r="G651" s="11"/>
      <c r="H651" s="12"/>
      <c r="I651" s="13"/>
      <c r="J651" s="13"/>
      <c r="K651" s="13"/>
    </row>
    <row r="652">
      <c r="A652" s="16"/>
      <c r="B652" s="17"/>
      <c r="C652" s="18"/>
      <c r="D652" s="11"/>
      <c r="E652" s="11"/>
      <c r="F652" s="11"/>
      <c r="G652" s="11"/>
      <c r="H652" s="12"/>
      <c r="I652" s="13"/>
      <c r="J652" s="13"/>
      <c r="K652" s="13"/>
    </row>
    <row r="653">
      <c r="A653" s="16"/>
      <c r="B653" s="17"/>
      <c r="C653" s="18"/>
      <c r="D653" s="11"/>
      <c r="E653" s="11"/>
      <c r="F653" s="11"/>
      <c r="G653" s="11"/>
      <c r="H653" s="12"/>
      <c r="I653" s="13"/>
      <c r="J653" s="13"/>
      <c r="K653" s="13"/>
    </row>
    <row r="654">
      <c r="A654" s="16"/>
      <c r="B654" s="17"/>
      <c r="C654" s="18"/>
      <c r="D654" s="11"/>
      <c r="E654" s="11"/>
      <c r="F654" s="11"/>
      <c r="G654" s="11"/>
      <c r="H654" s="12"/>
      <c r="I654" s="13"/>
      <c r="J654" s="13"/>
      <c r="K654" s="13"/>
    </row>
    <row r="655">
      <c r="A655" s="16"/>
      <c r="B655" s="17"/>
      <c r="C655" s="18"/>
      <c r="D655" s="11"/>
      <c r="E655" s="11"/>
      <c r="F655" s="11"/>
      <c r="G655" s="11"/>
      <c r="H655" s="12"/>
      <c r="I655" s="13"/>
      <c r="J655" s="13"/>
      <c r="K655" s="13"/>
    </row>
    <row r="656">
      <c r="A656" s="16"/>
      <c r="B656" s="17"/>
      <c r="C656" s="18"/>
      <c r="D656" s="11"/>
      <c r="E656" s="11"/>
      <c r="F656" s="11"/>
      <c r="G656" s="11"/>
      <c r="H656" s="12"/>
      <c r="I656" s="13"/>
      <c r="J656" s="13"/>
      <c r="K656" s="13"/>
    </row>
    <row r="657">
      <c r="A657" s="16"/>
      <c r="B657" s="17"/>
      <c r="C657" s="18"/>
      <c r="D657" s="11"/>
      <c r="E657" s="11"/>
      <c r="F657" s="11"/>
      <c r="G657" s="11"/>
      <c r="H657" s="12"/>
      <c r="I657" s="13"/>
      <c r="J657" s="13"/>
      <c r="K657" s="13"/>
    </row>
    <row r="658">
      <c r="A658" s="16"/>
      <c r="B658" s="17"/>
      <c r="C658" s="18"/>
      <c r="D658" s="11"/>
      <c r="E658" s="11"/>
      <c r="F658" s="11"/>
      <c r="G658" s="11"/>
      <c r="H658" s="12"/>
      <c r="I658" s="13"/>
      <c r="J658" s="13"/>
      <c r="K658" s="13"/>
    </row>
    <row r="659">
      <c r="A659" s="16"/>
      <c r="B659" s="17"/>
      <c r="C659" s="18"/>
      <c r="D659" s="11"/>
      <c r="E659" s="11"/>
      <c r="F659" s="11"/>
      <c r="G659" s="11"/>
      <c r="H659" s="12"/>
      <c r="I659" s="13"/>
      <c r="J659" s="13"/>
      <c r="K659" s="13"/>
    </row>
    <row r="660">
      <c r="A660" s="16"/>
      <c r="B660" s="17"/>
      <c r="C660" s="18"/>
      <c r="D660" s="11"/>
      <c r="E660" s="11"/>
      <c r="F660" s="11"/>
      <c r="G660" s="11"/>
      <c r="H660" s="12"/>
      <c r="I660" s="13"/>
      <c r="J660" s="13"/>
      <c r="K660" s="13"/>
    </row>
    <row r="661">
      <c r="A661" s="16"/>
      <c r="B661" s="17"/>
      <c r="C661" s="18"/>
      <c r="D661" s="11"/>
      <c r="E661" s="11"/>
      <c r="F661" s="11"/>
      <c r="G661" s="11"/>
      <c r="H661" s="12"/>
      <c r="I661" s="13"/>
      <c r="J661" s="13"/>
      <c r="K661" s="13"/>
    </row>
    <row r="662">
      <c r="A662" s="16"/>
      <c r="B662" s="17"/>
      <c r="C662" s="18"/>
      <c r="D662" s="11"/>
      <c r="E662" s="11"/>
      <c r="F662" s="11"/>
      <c r="G662" s="11"/>
      <c r="H662" s="12"/>
      <c r="I662" s="13"/>
      <c r="J662" s="13"/>
      <c r="K662" s="13"/>
    </row>
    <row r="663">
      <c r="A663" s="16"/>
      <c r="B663" s="17"/>
      <c r="C663" s="18"/>
      <c r="D663" s="11"/>
      <c r="E663" s="11"/>
      <c r="F663" s="11"/>
      <c r="G663" s="11"/>
      <c r="H663" s="12"/>
      <c r="I663" s="13"/>
      <c r="J663" s="13"/>
      <c r="K663" s="13"/>
    </row>
    <row r="664">
      <c r="A664" s="16"/>
      <c r="B664" s="17"/>
      <c r="C664" s="18"/>
      <c r="D664" s="11"/>
      <c r="E664" s="11"/>
      <c r="F664" s="11"/>
      <c r="G664" s="11"/>
      <c r="H664" s="12"/>
      <c r="I664" s="13"/>
      <c r="J664" s="13"/>
      <c r="K664" s="13"/>
    </row>
    <row r="665">
      <c r="A665" s="16"/>
      <c r="B665" s="17"/>
      <c r="C665" s="18"/>
      <c r="D665" s="11"/>
      <c r="E665" s="11"/>
      <c r="F665" s="11"/>
      <c r="G665" s="11"/>
      <c r="H665" s="12"/>
      <c r="I665" s="13"/>
      <c r="J665" s="13"/>
      <c r="K665" s="13"/>
    </row>
    <row r="666">
      <c r="A666" s="16"/>
      <c r="B666" s="17"/>
      <c r="C666" s="18"/>
      <c r="D666" s="11"/>
      <c r="E666" s="11"/>
      <c r="F666" s="11"/>
      <c r="G666" s="11"/>
      <c r="H666" s="12"/>
      <c r="I666" s="13"/>
      <c r="J666" s="13"/>
      <c r="K666" s="13"/>
    </row>
    <row r="667">
      <c r="A667" s="16"/>
      <c r="B667" s="17"/>
      <c r="C667" s="18"/>
      <c r="D667" s="11"/>
      <c r="E667" s="11"/>
      <c r="F667" s="11"/>
      <c r="G667" s="11"/>
      <c r="H667" s="12"/>
      <c r="I667" s="13"/>
      <c r="J667" s="13"/>
      <c r="K667" s="13"/>
    </row>
    <row r="668">
      <c r="A668" s="16"/>
      <c r="B668" s="17"/>
      <c r="C668" s="18"/>
      <c r="D668" s="11"/>
      <c r="E668" s="11"/>
      <c r="F668" s="11"/>
      <c r="G668" s="11"/>
      <c r="H668" s="12"/>
      <c r="I668" s="13"/>
      <c r="J668" s="13"/>
      <c r="K668" s="13"/>
    </row>
    <row r="669">
      <c r="A669" s="16"/>
      <c r="B669" s="17"/>
      <c r="C669" s="18"/>
      <c r="D669" s="11"/>
      <c r="E669" s="11"/>
      <c r="F669" s="11"/>
      <c r="G669" s="11"/>
      <c r="H669" s="12"/>
      <c r="I669" s="13"/>
      <c r="J669" s="13"/>
      <c r="K669" s="13"/>
    </row>
    <row r="670">
      <c r="A670" s="16"/>
      <c r="B670" s="17"/>
      <c r="C670" s="18"/>
      <c r="D670" s="11"/>
      <c r="E670" s="11"/>
      <c r="F670" s="11"/>
      <c r="G670" s="11"/>
      <c r="H670" s="12"/>
      <c r="I670" s="13"/>
      <c r="J670" s="13"/>
      <c r="K670" s="13"/>
    </row>
    <row r="671">
      <c r="A671" s="16"/>
      <c r="B671" s="17"/>
      <c r="C671" s="18"/>
      <c r="D671" s="11"/>
      <c r="E671" s="11"/>
      <c r="F671" s="11"/>
      <c r="G671" s="11"/>
      <c r="H671" s="12"/>
      <c r="I671" s="13"/>
      <c r="J671" s="13"/>
      <c r="K671" s="13"/>
    </row>
    <row r="672">
      <c r="A672" s="16"/>
      <c r="B672" s="17"/>
      <c r="C672" s="18"/>
      <c r="D672" s="11"/>
      <c r="E672" s="11"/>
      <c r="F672" s="11"/>
      <c r="G672" s="11"/>
      <c r="H672" s="12"/>
      <c r="I672" s="13"/>
      <c r="J672" s="13"/>
      <c r="K672" s="13"/>
    </row>
    <row r="673">
      <c r="A673" s="16"/>
      <c r="B673" s="17"/>
      <c r="C673" s="18"/>
      <c r="D673" s="11"/>
      <c r="E673" s="11"/>
      <c r="F673" s="11"/>
      <c r="G673" s="11"/>
      <c r="H673" s="12"/>
      <c r="I673" s="13"/>
      <c r="J673" s="13"/>
      <c r="K673" s="13"/>
    </row>
    <row r="674">
      <c r="A674" s="16"/>
      <c r="B674" s="17"/>
      <c r="C674" s="18"/>
      <c r="D674" s="11"/>
      <c r="E674" s="11"/>
      <c r="F674" s="11"/>
      <c r="G674" s="11"/>
      <c r="H674" s="12"/>
      <c r="I674" s="13"/>
      <c r="J674" s="13"/>
      <c r="K674" s="13"/>
    </row>
    <row r="675">
      <c r="A675" s="16"/>
      <c r="B675" s="17"/>
      <c r="C675" s="18"/>
      <c r="D675" s="11"/>
      <c r="E675" s="11"/>
      <c r="F675" s="11"/>
      <c r="G675" s="11"/>
      <c r="H675" s="12"/>
      <c r="I675" s="13"/>
      <c r="J675" s="13"/>
      <c r="K675" s="13"/>
    </row>
    <row r="676">
      <c r="A676" s="16"/>
      <c r="B676" s="17"/>
      <c r="C676" s="18"/>
      <c r="D676" s="11"/>
      <c r="E676" s="11"/>
      <c r="F676" s="11"/>
      <c r="G676" s="11"/>
      <c r="H676" s="12"/>
      <c r="I676" s="13"/>
      <c r="J676" s="13"/>
      <c r="K676" s="13"/>
    </row>
    <row r="677">
      <c r="A677" s="16"/>
      <c r="B677" s="17"/>
      <c r="C677" s="18"/>
      <c r="D677" s="11"/>
      <c r="E677" s="11"/>
      <c r="F677" s="11"/>
      <c r="G677" s="11"/>
      <c r="H677" s="12"/>
      <c r="I677" s="13"/>
      <c r="J677" s="13"/>
      <c r="K677" s="13"/>
    </row>
    <row r="678">
      <c r="A678" s="16"/>
      <c r="B678" s="17"/>
      <c r="C678" s="18"/>
      <c r="D678" s="11"/>
      <c r="E678" s="11"/>
      <c r="F678" s="11"/>
      <c r="G678" s="11"/>
      <c r="H678" s="12"/>
      <c r="I678" s="13"/>
      <c r="J678" s="13"/>
      <c r="K678" s="13"/>
    </row>
    <row r="679">
      <c r="A679" s="16"/>
      <c r="B679" s="17"/>
      <c r="C679" s="18"/>
      <c r="D679" s="11"/>
      <c r="E679" s="11"/>
      <c r="F679" s="11"/>
      <c r="G679" s="11"/>
      <c r="H679" s="12"/>
      <c r="I679" s="13"/>
      <c r="J679" s="13"/>
      <c r="K679" s="13"/>
    </row>
    <row r="680">
      <c r="A680" s="16"/>
      <c r="B680" s="17"/>
      <c r="C680" s="18"/>
      <c r="D680" s="11"/>
      <c r="E680" s="11"/>
      <c r="F680" s="11"/>
      <c r="G680" s="11"/>
      <c r="H680" s="12"/>
      <c r="I680" s="13"/>
      <c r="J680" s="13"/>
      <c r="K680" s="13"/>
    </row>
    <row r="681">
      <c r="A681" s="16"/>
      <c r="B681" s="17"/>
      <c r="C681" s="18"/>
      <c r="D681" s="11"/>
      <c r="E681" s="11"/>
      <c r="F681" s="11"/>
      <c r="G681" s="11"/>
      <c r="H681" s="12"/>
      <c r="I681" s="13"/>
      <c r="J681" s="13"/>
      <c r="K681" s="13"/>
    </row>
    <row r="682">
      <c r="A682" s="16"/>
      <c r="B682" s="17"/>
      <c r="C682" s="18"/>
      <c r="D682" s="11"/>
      <c r="E682" s="11"/>
      <c r="F682" s="11"/>
      <c r="G682" s="11"/>
      <c r="H682" s="12"/>
      <c r="I682" s="13"/>
      <c r="J682" s="13"/>
      <c r="K682" s="13"/>
    </row>
    <row r="683">
      <c r="A683" s="16"/>
      <c r="B683" s="17"/>
      <c r="C683" s="18"/>
      <c r="D683" s="11"/>
      <c r="E683" s="11"/>
      <c r="F683" s="11"/>
      <c r="G683" s="11"/>
      <c r="H683" s="12"/>
      <c r="I683" s="13"/>
      <c r="J683" s="13"/>
      <c r="K683" s="13"/>
    </row>
    <row r="684">
      <c r="A684" s="16"/>
      <c r="B684" s="17"/>
      <c r="C684" s="18"/>
      <c r="D684" s="11"/>
      <c r="E684" s="11"/>
      <c r="F684" s="11"/>
      <c r="G684" s="11"/>
      <c r="H684" s="12"/>
      <c r="I684" s="13"/>
      <c r="J684" s="13"/>
      <c r="K684" s="13"/>
    </row>
    <row r="685">
      <c r="A685" s="16"/>
      <c r="B685" s="17"/>
      <c r="C685" s="18"/>
      <c r="D685" s="11"/>
      <c r="E685" s="11"/>
      <c r="F685" s="11"/>
      <c r="G685" s="11"/>
      <c r="H685" s="12"/>
      <c r="I685" s="13"/>
      <c r="J685" s="13"/>
      <c r="K685" s="13"/>
    </row>
    <row r="686">
      <c r="A686" s="16"/>
      <c r="B686" s="17"/>
      <c r="C686" s="18"/>
      <c r="D686" s="11"/>
      <c r="E686" s="11"/>
      <c r="F686" s="11"/>
      <c r="G686" s="11"/>
      <c r="H686" s="12"/>
      <c r="I686" s="13"/>
      <c r="J686" s="13"/>
      <c r="K686" s="13"/>
    </row>
    <row r="687">
      <c r="A687" s="16"/>
      <c r="B687" s="17"/>
      <c r="C687" s="18"/>
      <c r="D687" s="11"/>
      <c r="E687" s="11"/>
      <c r="F687" s="11"/>
      <c r="G687" s="11"/>
      <c r="H687" s="12"/>
      <c r="I687" s="13"/>
      <c r="J687" s="13"/>
      <c r="K687" s="13"/>
    </row>
    <row r="688">
      <c r="A688" s="16"/>
      <c r="B688" s="17"/>
      <c r="C688" s="18"/>
      <c r="D688" s="11"/>
      <c r="E688" s="11"/>
      <c r="F688" s="11"/>
      <c r="G688" s="11"/>
      <c r="H688" s="12"/>
      <c r="I688" s="13"/>
      <c r="J688" s="13"/>
      <c r="K688" s="13"/>
    </row>
    <row r="689">
      <c r="A689" s="16"/>
      <c r="B689" s="17"/>
      <c r="C689" s="18"/>
      <c r="D689" s="11"/>
      <c r="E689" s="11"/>
      <c r="F689" s="11"/>
      <c r="G689" s="11"/>
      <c r="H689" s="12"/>
      <c r="I689" s="13"/>
      <c r="J689" s="13"/>
      <c r="K689" s="13"/>
    </row>
    <row r="690">
      <c r="A690" s="16"/>
      <c r="B690" s="17"/>
      <c r="C690" s="18"/>
      <c r="D690" s="11"/>
      <c r="E690" s="11"/>
      <c r="F690" s="11"/>
      <c r="G690" s="11"/>
      <c r="H690" s="12"/>
      <c r="I690" s="13"/>
      <c r="J690" s="13"/>
      <c r="K690" s="13"/>
    </row>
    <row r="691">
      <c r="A691" s="16"/>
      <c r="B691" s="17"/>
      <c r="C691" s="18"/>
      <c r="D691" s="11"/>
      <c r="E691" s="11"/>
      <c r="F691" s="11"/>
      <c r="G691" s="11"/>
      <c r="H691" s="12"/>
      <c r="I691" s="13"/>
      <c r="J691" s="13"/>
      <c r="K691" s="13"/>
    </row>
    <row r="692">
      <c r="A692" s="16"/>
      <c r="B692" s="17"/>
      <c r="C692" s="18"/>
      <c r="D692" s="11"/>
      <c r="E692" s="11"/>
      <c r="F692" s="11"/>
      <c r="G692" s="11"/>
      <c r="H692" s="12"/>
      <c r="I692" s="13"/>
      <c r="J692" s="13"/>
      <c r="K692" s="13"/>
    </row>
    <row r="693">
      <c r="A693" s="16"/>
      <c r="B693" s="17"/>
      <c r="C693" s="18"/>
      <c r="D693" s="11"/>
      <c r="E693" s="11"/>
      <c r="F693" s="11"/>
      <c r="G693" s="11"/>
      <c r="H693" s="12"/>
      <c r="I693" s="13"/>
      <c r="J693" s="13"/>
      <c r="K693" s="13"/>
    </row>
    <row r="694">
      <c r="A694" s="16"/>
      <c r="B694" s="17"/>
      <c r="C694" s="18"/>
      <c r="D694" s="11"/>
      <c r="E694" s="11"/>
      <c r="F694" s="11"/>
      <c r="G694" s="11"/>
      <c r="H694" s="12"/>
      <c r="I694" s="13"/>
      <c r="J694" s="13"/>
      <c r="K694" s="13"/>
    </row>
    <row r="695">
      <c r="A695" s="16"/>
      <c r="B695" s="17"/>
      <c r="C695" s="18"/>
      <c r="D695" s="11"/>
      <c r="E695" s="11"/>
      <c r="F695" s="11"/>
      <c r="G695" s="11"/>
      <c r="H695" s="12"/>
      <c r="I695" s="13"/>
      <c r="J695" s="13"/>
      <c r="K695" s="13"/>
    </row>
    <row r="696">
      <c r="A696" s="16"/>
      <c r="B696" s="17"/>
      <c r="C696" s="18"/>
      <c r="D696" s="11"/>
      <c r="E696" s="11"/>
      <c r="F696" s="11"/>
      <c r="G696" s="11"/>
      <c r="H696" s="12"/>
      <c r="I696" s="13"/>
      <c r="J696" s="13"/>
      <c r="K696" s="13"/>
    </row>
    <row r="697">
      <c r="A697" s="16"/>
      <c r="B697" s="17"/>
      <c r="C697" s="18"/>
      <c r="D697" s="11"/>
      <c r="E697" s="11"/>
      <c r="F697" s="11"/>
      <c r="G697" s="11"/>
      <c r="H697" s="12"/>
      <c r="I697" s="13"/>
      <c r="J697" s="13"/>
      <c r="K697" s="13"/>
    </row>
    <row r="698">
      <c r="A698" s="16"/>
      <c r="B698" s="17"/>
      <c r="C698" s="18"/>
      <c r="D698" s="11"/>
      <c r="E698" s="11"/>
      <c r="F698" s="11"/>
      <c r="G698" s="11"/>
      <c r="H698" s="12"/>
      <c r="I698" s="13"/>
      <c r="J698" s="13"/>
      <c r="K698" s="13"/>
    </row>
    <row r="699">
      <c r="A699" s="16"/>
      <c r="B699" s="17"/>
      <c r="C699" s="18"/>
      <c r="D699" s="11"/>
      <c r="E699" s="11"/>
      <c r="F699" s="11"/>
      <c r="G699" s="11"/>
      <c r="H699" s="12"/>
      <c r="I699" s="13"/>
      <c r="J699" s="13"/>
      <c r="K699" s="13"/>
    </row>
    <row r="700">
      <c r="A700" s="16"/>
      <c r="B700" s="17"/>
      <c r="C700" s="18"/>
      <c r="D700" s="11"/>
      <c r="E700" s="11"/>
      <c r="F700" s="11"/>
      <c r="G700" s="11"/>
      <c r="H700" s="12"/>
      <c r="I700" s="13"/>
      <c r="J700" s="13"/>
      <c r="K700" s="13"/>
    </row>
    <row r="701">
      <c r="A701" s="16"/>
      <c r="B701" s="17"/>
      <c r="C701" s="18"/>
      <c r="D701" s="11"/>
      <c r="E701" s="11"/>
      <c r="F701" s="11"/>
      <c r="G701" s="11"/>
      <c r="H701" s="12"/>
      <c r="I701" s="13"/>
      <c r="J701" s="13"/>
      <c r="K701" s="13"/>
    </row>
    <row r="702">
      <c r="A702" s="16"/>
      <c r="B702" s="17"/>
      <c r="C702" s="18"/>
      <c r="D702" s="11"/>
      <c r="E702" s="11"/>
      <c r="F702" s="11"/>
      <c r="G702" s="11"/>
      <c r="H702" s="12"/>
      <c r="I702" s="13"/>
      <c r="J702" s="13"/>
      <c r="K702" s="13"/>
    </row>
    <row r="703">
      <c r="A703" s="16"/>
      <c r="B703" s="17"/>
      <c r="C703" s="18"/>
      <c r="D703" s="11"/>
      <c r="E703" s="11"/>
      <c r="F703" s="11"/>
      <c r="G703" s="11"/>
      <c r="H703" s="12"/>
      <c r="I703" s="13"/>
      <c r="J703" s="13"/>
      <c r="K703" s="13"/>
    </row>
    <row r="704">
      <c r="A704" s="16"/>
      <c r="B704" s="17"/>
      <c r="C704" s="18"/>
      <c r="D704" s="11"/>
      <c r="E704" s="11"/>
      <c r="F704" s="11"/>
      <c r="G704" s="11"/>
      <c r="H704" s="12"/>
      <c r="I704" s="13"/>
      <c r="J704" s="13"/>
      <c r="K704" s="13"/>
    </row>
    <row r="705">
      <c r="A705" s="16"/>
      <c r="B705" s="17"/>
      <c r="C705" s="18"/>
      <c r="D705" s="11"/>
      <c r="E705" s="11"/>
      <c r="F705" s="11"/>
      <c r="G705" s="11"/>
      <c r="H705" s="12"/>
      <c r="I705" s="13"/>
      <c r="J705" s="13"/>
      <c r="K705" s="13"/>
    </row>
    <row r="706">
      <c r="A706" s="16"/>
      <c r="B706" s="17"/>
      <c r="C706" s="18"/>
      <c r="D706" s="11"/>
      <c r="E706" s="11"/>
      <c r="F706" s="11"/>
      <c r="G706" s="11"/>
      <c r="H706" s="12"/>
      <c r="I706" s="13"/>
      <c r="J706" s="13"/>
      <c r="K706" s="13"/>
    </row>
    <row r="707">
      <c r="A707" s="16"/>
      <c r="B707" s="17"/>
      <c r="C707" s="18"/>
      <c r="D707" s="11"/>
      <c r="E707" s="11"/>
      <c r="F707" s="11"/>
      <c r="G707" s="11"/>
      <c r="H707" s="12"/>
      <c r="I707" s="13"/>
      <c r="J707" s="13"/>
      <c r="K707" s="13"/>
    </row>
    <row r="708">
      <c r="A708" s="16"/>
      <c r="B708" s="17"/>
      <c r="C708" s="18"/>
      <c r="D708" s="11"/>
      <c r="E708" s="11"/>
      <c r="F708" s="11"/>
      <c r="G708" s="11"/>
      <c r="H708" s="12"/>
      <c r="I708" s="13"/>
      <c r="J708" s="13"/>
      <c r="K708" s="13"/>
    </row>
    <row r="709">
      <c r="A709" s="16"/>
      <c r="B709" s="17"/>
      <c r="C709" s="18"/>
      <c r="D709" s="11"/>
      <c r="E709" s="11"/>
      <c r="F709" s="11"/>
      <c r="G709" s="11"/>
      <c r="H709" s="12"/>
      <c r="I709" s="13"/>
      <c r="J709" s="13"/>
      <c r="K709" s="13"/>
    </row>
    <row r="710">
      <c r="A710" s="16"/>
      <c r="B710" s="17"/>
      <c r="C710" s="18"/>
      <c r="D710" s="11"/>
      <c r="E710" s="11"/>
      <c r="F710" s="11"/>
      <c r="G710" s="11"/>
      <c r="H710" s="12"/>
      <c r="I710" s="13"/>
      <c r="J710" s="13"/>
      <c r="K710" s="13"/>
    </row>
    <row r="711">
      <c r="A711" s="16"/>
      <c r="B711" s="17"/>
      <c r="C711" s="18"/>
      <c r="D711" s="11"/>
      <c r="E711" s="11"/>
      <c r="F711" s="11"/>
      <c r="G711" s="11"/>
      <c r="H711" s="12"/>
      <c r="I711" s="13"/>
      <c r="J711" s="13"/>
      <c r="K711" s="13"/>
    </row>
    <row r="712">
      <c r="A712" s="16"/>
      <c r="B712" s="17"/>
      <c r="C712" s="18"/>
      <c r="D712" s="11"/>
      <c r="E712" s="11"/>
      <c r="F712" s="11"/>
      <c r="G712" s="11"/>
      <c r="H712" s="12"/>
      <c r="I712" s="13"/>
      <c r="J712" s="13"/>
      <c r="K712" s="13"/>
    </row>
    <row r="713">
      <c r="A713" s="16"/>
      <c r="B713" s="17"/>
      <c r="C713" s="18"/>
      <c r="D713" s="11"/>
      <c r="E713" s="11"/>
      <c r="F713" s="11"/>
      <c r="G713" s="11"/>
      <c r="H713" s="12"/>
      <c r="I713" s="13"/>
      <c r="J713" s="13"/>
      <c r="K713" s="13"/>
    </row>
    <row r="714">
      <c r="A714" s="16"/>
      <c r="B714" s="17"/>
      <c r="C714" s="18"/>
      <c r="D714" s="11"/>
      <c r="E714" s="11"/>
      <c r="F714" s="11"/>
      <c r="G714" s="11"/>
      <c r="H714" s="12"/>
      <c r="I714" s="13"/>
      <c r="J714" s="13"/>
      <c r="K714" s="13"/>
    </row>
    <row r="715">
      <c r="A715" s="16"/>
      <c r="B715" s="17"/>
      <c r="C715" s="18"/>
      <c r="D715" s="11"/>
      <c r="E715" s="11"/>
      <c r="F715" s="11"/>
      <c r="G715" s="11"/>
      <c r="H715" s="12"/>
      <c r="I715" s="13"/>
      <c r="J715" s="13"/>
      <c r="K715" s="13"/>
    </row>
    <row r="716">
      <c r="A716" s="16"/>
      <c r="B716" s="17"/>
      <c r="C716" s="18"/>
      <c r="D716" s="11"/>
      <c r="E716" s="11"/>
      <c r="F716" s="11"/>
      <c r="G716" s="11"/>
      <c r="H716" s="12"/>
      <c r="I716" s="13"/>
      <c r="J716" s="13"/>
      <c r="K716" s="13"/>
    </row>
    <row r="717">
      <c r="A717" s="16"/>
      <c r="B717" s="17"/>
      <c r="C717" s="18"/>
      <c r="D717" s="11"/>
      <c r="E717" s="11"/>
      <c r="F717" s="11"/>
      <c r="G717" s="11"/>
      <c r="H717" s="12"/>
      <c r="I717" s="13"/>
      <c r="J717" s="13"/>
      <c r="K717" s="13"/>
    </row>
    <row r="718">
      <c r="A718" s="16"/>
      <c r="B718" s="17"/>
      <c r="C718" s="18"/>
      <c r="D718" s="11"/>
      <c r="E718" s="11"/>
      <c r="F718" s="11"/>
      <c r="G718" s="11"/>
      <c r="H718" s="12"/>
      <c r="I718" s="13"/>
      <c r="J718" s="13"/>
      <c r="K718" s="13"/>
    </row>
    <row r="719">
      <c r="A719" s="16"/>
      <c r="B719" s="17"/>
      <c r="C719" s="18"/>
      <c r="D719" s="11"/>
      <c r="E719" s="11"/>
      <c r="F719" s="11"/>
      <c r="G719" s="11"/>
      <c r="H719" s="12"/>
      <c r="I719" s="13"/>
      <c r="J719" s="13"/>
      <c r="K719" s="13"/>
    </row>
    <row r="720">
      <c r="A720" s="16"/>
      <c r="B720" s="17"/>
      <c r="C720" s="18"/>
      <c r="D720" s="11"/>
      <c r="E720" s="11"/>
      <c r="F720" s="11"/>
      <c r="G720" s="11"/>
      <c r="H720" s="12"/>
      <c r="I720" s="13"/>
      <c r="J720" s="13"/>
      <c r="K720" s="13"/>
    </row>
    <row r="721">
      <c r="A721" s="16"/>
      <c r="B721" s="17"/>
      <c r="C721" s="18"/>
      <c r="D721" s="11"/>
      <c r="E721" s="11"/>
      <c r="F721" s="11"/>
      <c r="G721" s="11"/>
      <c r="H721" s="12"/>
      <c r="I721" s="13"/>
      <c r="J721" s="13"/>
      <c r="K721" s="13"/>
    </row>
    <row r="722">
      <c r="A722" s="16"/>
      <c r="B722" s="17"/>
      <c r="C722" s="18"/>
      <c r="D722" s="11"/>
      <c r="E722" s="11"/>
      <c r="F722" s="11"/>
      <c r="G722" s="11"/>
      <c r="H722" s="12"/>
      <c r="I722" s="13"/>
      <c r="J722" s="13"/>
      <c r="K722" s="13"/>
    </row>
    <row r="723">
      <c r="A723" s="16"/>
      <c r="B723" s="17"/>
      <c r="C723" s="18"/>
      <c r="D723" s="11"/>
      <c r="E723" s="11"/>
      <c r="F723" s="11"/>
      <c r="G723" s="11"/>
      <c r="H723" s="12"/>
      <c r="I723" s="13"/>
      <c r="J723" s="13"/>
      <c r="K723" s="13"/>
    </row>
    <row r="724">
      <c r="A724" s="16"/>
      <c r="B724" s="17"/>
      <c r="C724" s="18"/>
      <c r="D724" s="11"/>
      <c r="E724" s="11"/>
      <c r="F724" s="11"/>
      <c r="G724" s="11"/>
      <c r="H724" s="12"/>
      <c r="I724" s="13"/>
      <c r="J724" s="13"/>
      <c r="K724" s="13"/>
    </row>
    <row r="725">
      <c r="A725" s="16"/>
      <c r="B725" s="17"/>
      <c r="C725" s="18"/>
      <c r="D725" s="11"/>
      <c r="E725" s="11"/>
      <c r="F725" s="11"/>
      <c r="G725" s="11"/>
      <c r="H725" s="12"/>
      <c r="I725" s="13"/>
      <c r="J725" s="13"/>
      <c r="K725" s="13"/>
    </row>
    <row r="726">
      <c r="A726" s="16"/>
      <c r="B726" s="17"/>
      <c r="C726" s="18"/>
      <c r="D726" s="11"/>
      <c r="E726" s="11"/>
      <c r="F726" s="11"/>
      <c r="G726" s="11"/>
      <c r="H726" s="12"/>
      <c r="I726" s="13"/>
      <c r="J726" s="13"/>
      <c r="K726" s="13"/>
    </row>
    <row r="727">
      <c r="A727" s="16"/>
      <c r="B727" s="17"/>
      <c r="C727" s="18"/>
      <c r="D727" s="11"/>
      <c r="E727" s="11"/>
      <c r="F727" s="11"/>
      <c r="G727" s="11"/>
      <c r="H727" s="12"/>
      <c r="I727" s="13"/>
      <c r="J727" s="13"/>
      <c r="K727" s="13"/>
    </row>
    <row r="728">
      <c r="A728" s="16"/>
      <c r="B728" s="17"/>
      <c r="C728" s="18"/>
      <c r="D728" s="11"/>
      <c r="E728" s="11"/>
      <c r="F728" s="11"/>
      <c r="G728" s="11"/>
      <c r="H728" s="12"/>
      <c r="I728" s="13"/>
      <c r="J728" s="13"/>
      <c r="K728" s="13"/>
    </row>
    <row r="729">
      <c r="A729" s="16"/>
      <c r="B729" s="17"/>
      <c r="C729" s="18"/>
      <c r="D729" s="11"/>
      <c r="E729" s="11"/>
      <c r="F729" s="11"/>
      <c r="G729" s="11"/>
      <c r="H729" s="12"/>
      <c r="I729" s="13"/>
      <c r="J729" s="13"/>
      <c r="K729" s="13"/>
    </row>
    <row r="730">
      <c r="A730" s="16"/>
      <c r="B730" s="17"/>
      <c r="C730" s="18"/>
      <c r="D730" s="11"/>
      <c r="E730" s="11"/>
      <c r="F730" s="11"/>
      <c r="G730" s="11"/>
      <c r="H730" s="12"/>
      <c r="I730" s="13"/>
      <c r="J730" s="13"/>
      <c r="K730" s="13"/>
    </row>
    <row r="731">
      <c r="A731" s="16"/>
      <c r="B731" s="17"/>
      <c r="C731" s="18"/>
      <c r="D731" s="11"/>
      <c r="E731" s="11"/>
      <c r="F731" s="11"/>
      <c r="G731" s="11"/>
      <c r="H731" s="12"/>
      <c r="I731" s="13"/>
      <c r="J731" s="13"/>
      <c r="K731" s="13"/>
    </row>
    <row r="732">
      <c r="A732" s="16"/>
      <c r="B732" s="17"/>
      <c r="C732" s="18"/>
      <c r="D732" s="11"/>
      <c r="E732" s="11"/>
      <c r="F732" s="11"/>
      <c r="G732" s="11"/>
      <c r="H732" s="12"/>
      <c r="I732" s="13"/>
      <c r="J732" s="13"/>
      <c r="K732" s="13"/>
    </row>
    <row r="733">
      <c r="A733" s="16"/>
      <c r="B733" s="17"/>
      <c r="C733" s="18"/>
      <c r="D733" s="11"/>
      <c r="E733" s="11"/>
      <c r="F733" s="11"/>
      <c r="G733" s="11"/>
      <c r="H733" s="12"/>
      <c r="I733" s="13"/>
      <c r="J733" s="13"/>
      <c r="K733" s="13"/>
    </row>
    <row r="734">
      <c r="A734" s="16"/>
      <c r="B734" s="17"/>
      <c r="C734" s="18"/>
      <c r="D734" s="11"/>
      <c r="E734" s="11"/>
      <c r="F734" s="11"/>
      <c r="G734" s="11"/>
      <c r="H734" s="12"/>
      <c r="I734" s="13"/>
      <c r="J734" s="13"/>
      <c r="K734" s="13"/>
    </row>
    <row r="735">
      <c r="A735" s="16"/>
      <c r="B735" s="17"/>
      <c r="C735" s="18"/>
      <c r="D735" s="11"/>
      <c r="E735" s="11"/>
      <c r="F735" s="11"/>
      <c r="G735" s="11"/>
      <c r="H735" s="12"/>
      <c r="I735" s="13"/>
      <c r="J735" s="13"/>
      <c r="K735" s="13"/>
    </row>
    <row r="736">
      <c r="A736" s="16"/>
      <c r="B736" s="17"/>
      <c r="C736" s="18"/>
      <c r="D736" s="11"/>
      <c r="E736" s="11"/>
      <c r="F736" s="11"/>
      <c r="G736" s="11"/>
      <c r="H736" s="12"/>
      <c r="I736" s="13"/>
      <c r="J736" s="13"/>
      <c r="K736" s="13"/>
    </row>
    <row r="737">
      <c r="A737" s="16"/>
      <c r="B737" s="17"/>
      <c r="C737" s="18"/>
      <c r="D737" s="11"/>
      <c r="E737" s="11"/>
      <c r="F737" s="11"/>
      <c r="G737" s="11"/>
      <c r="H737" s="12"/>
      <c r="I737" s="13"/>
      <c r="J737" s="13"/>
      <c r="K737" s="13"/>
    </row>
    <row r="738">
      <c r="A738" s="16"/>
      <c r="B738" s="17"/>
      <c r="C738" s="18"/>
      <c r="D738" s="11"/>
      <c r="E738" s="11"/>
      <c r="F738" s="11"/>
      <c r="G738" s="11"/>
      <c r="H738" s="12"/>
      <c r="I738" s="13"/>
      <c r="J738" s="13"/>
      <c r="K738" s="13"/>
    </row>
    <row r="739">
      <c r="A739" s="16"/>
      <c r="B739" s="17"/>
      <c r="C739" s="18"/>
      <c r="D739" s="11"/>
      <c r="E739" s="11"/>
      <c r="F739" s="11"/>
      <c r="G739" s="11"/>
      <c r="H739" s="12"/>
      <c r="I739" s="13"/>
      <c r="J739" s="13"/>
      <c r="K739" s="13"/>
    </row>
    <row r="740">
      <c r="A740" s="16"/>
      <c r="B740" s="17"/>
      <c r="C740" s="18"/>
      <c r="D740" s="11"/>
      <c r="E740" s="11"/>
      <c r="F740" s="11"/>
      <c r="G740" s="11"/>
      <c r="H740" s="12"/>
      <c r="I740" s="13"/>
      <c r="J740" s="13"/>
      <c r="K740" s="13"/>
    </row>
    <row r="741">
      <c r="A741" s="16"/>
      <c r="B741" s="17"/>
      <c r="C741" s="18"/>
      <c r="D741" s="11"/>
      <c r="E741" s="11"/>
      <c r="F741" s="11"/>
      <c r="G741" s="11"/>
      <c r="H741" s="12"/>
      <c r="I741" s="13"/>
      <c r="J741" s="13"/>
      <c r="K741" s="13"/>
    </row>
    <row r="742">
      <c r="A742" s="16"/>
      <c r="B742" s="17"/>
      <c r="C742" s="18"/>
      <c r="D742" s="11"/>
      <c r="E742" s="11"/>
      <c r="F742" s="11"/>
      <c r="G742" s="11"/>
      <c r="H742" s="12"/>
      <c r="I742" s="13"/>
      <c r="J742" s="13"/>
      <c r="K742" s="13"/>
    </row>
    <row r="743">
      <c r="A743" s="16"/>
      <c r="B743" s="17"/>
      <c r="C743" s="18"/>
      <c r="D743" s="11"/>
      <c r="E743" s="11"/>
      <c r="F743" s="11"/>
      <c r="G743" s="11"/>
      <c r="H743" s="12"/>
      <c r="I743" s="13"/>
      <c r="J743" s="13"/>
      <c r="K743" s="13"/>
    </row>
    <row r="744">
      <c r="A744" s="16"/>
      <c r="B744" s="17"/>
      <c r="C744" s="18"/>
      <c r="D744" s="11"/>
      <c r="E744" s="11"/>
      <c r="F744" s="11"/>
      <c r="G744" s="11"/>
      <c r="H744" s="12"/>
      <c r="I744" s="13"/>
      <c r="J744" s="13"/>
      <c r="K744" s="13"/>
    </row>
    <row r="745">
      <c r="A745" s="16"/>
      <c r="B745" s="17"/>
      <c r="C745" s="18"/>
      <c r="D745" s="11"/>
      <c r="E745" s="11"/>
      <c r="F745" s="11"/>
      <c r="G745" s="11"/>
      <c r="H745" s="12"/>
      <c r="I745" s="13"/>
      <c r="J745" s="13"/>
      <c r="K745" s="13"/>
    </row>
    <row r="746">
      <c r="A746" s="16"/>
      <c r="B746" s="17"/>
      <c r="C746" s="18"/>
      <c r="D746" s="11"/>
      <c r="E746" s="11"/>
      <c r="F746" s="11"/>
      <c r="G746" s="11"/>
      <c r="H746" s="12"/>
      <c r="I746" s="13"/>
      <c r="J746" s="13"/>
      <c r="K746" s="13"/>
    </row>
    <row r="747">
      <c r="A747" s="16"/>
      <c r="B747" s="17"/>
      <c r="C747" s="18"/>
      <c r="D747" s="11"/>
      <c r="E747" s="11"/>
      <c r="F747" s="11"/>
      <c r="G747" s="11"/>
      <c r="H747" s="12"/>
      <c r="I747" s="13"/>
      <c r="J747" s="13"/>
      <c r="K747" s="13"/>
    </row>
    <row r="748">
      <c r="A748" s="16"/>
      <c r="B748" s="17"/>
      <c r="C748" s="18"/>
      <c r="D748" s="11"/>
      <c r="E748" s="11"/>
      <c r="F748" s="11"/>
      <c r="G748" s="11"/>
      <c r="H748" s="12"/>
      <c r="I748" s="13"/>
      <c r="J748" s="13"/>
      <c r="K748" s="13"/>
    </row>
    <row r="749">
      <c r="A749" s="16"/>
      <c r="B749" s="17"/>
      <c r="C749" s="18"/>
      <c r="D749" s="11"/>
      <c r="E749" s="11"/>
      <c r="F749" s="11"/>
      <c r="G749" s="11"/>
      <c r="H749" s="12"/>
      <c r="I749" s="13"/>
      <c r="J749" s="13"/>
      <c r="K749" s="13"/>
    </row>
    <row r="750">
      <c r="A750" s="16"/>
      <c r="B750" s="17"/>
      <c r="C750" s="18"/>
      <c r="D750" s="11"/>
      <c r="E750" s="11"/>
      <c r="F750" s="11"/>
      <c r="G750" s="11"/>
      <c r="H750" s="12"/>
      <c r="I750" s="13"/>
      <c r="J750" s="13"/>
      <c r="K750" s="13"/>
    </row>
    <row r="751">
      <c r="A751" s="16"/>
      <c r="B751" s="17"/>
      <c r="C751" s="18"/>
      <c r="D751" s="11"/>
      <c r="E751" s="11"/>
      <c r="F751" s="11"/>
      <c r="G751" s="11"/>
      <c r="H751" s="12"/>
      <c r="I751" s="13"/>
      <c r="J751" s="13"/>
      <c r="K751" s="13"/>
    </row>
    <row r="752">
      <c r="A752" s="16"/>
      <c r="B752" s="17"/>
      <c r="C752" s="18"/>
      <c r="D752" s="11"/>
      <c r="E752" s="11"/>
      <c r="F752" s="11"/>
      <c r="G752" s="11"/>
      <c r="H752" s="12"/>
      <c r="I752" s="13"/>
      <c r="J752" s="13"/>
      <c r="K752" s="13"/>
    </row>
    <row r="753">
      <c r="A753" s="16"/>
      <c r="B753" s="17"/>
      <c r="C753" s="18"/>
      <c r="D753" s="11"/>
      <c r="E753" s="11"/>
      <c r="F753" s="11"/>
      <c r="G753" s="11"/>
      <c r="H753" s="12"/>
      <c r="I753" s="13"/>
      <c r="J753" s="13"/>
      <c r="K753" s="13"/>
    </row>
    <row r="754">
      <c r="A754" s="16"/>
      <c r="B754" s="17"/>
      <c r="C754" s="18"/>
      <c r="D754" s="11"/>
      <c r="E754" s="11"/>
      <c r="F754" s="11"/>
      <c r="G754" s="11"/>
      <c r="H754" s="12"/>
      <c r="I754" s="13"/>
      <c r="J754" s="13"/>
      <c r="K754" s="13"/>
    </row>
    <row r="755">
      <c r="A755" s="16"/>
      <c r="B755" s="17"/>
      <c r="C755" s="18"/>
      <c r="D755" s="11"/>
      <c r="E755" s="11"/>
      <c r="F755" s="11"/>
      <c r="G755" s="11"/>
      <c r="H755" s="12"/>
      <c r="I755" s="13"/>
      <c r="J755" s="13"/>
      <c r="K755" s="13"/>
    </row>
    <row r="756">
      <c r="A756" s="16"/>
      <c r="B756" s="17"/>
      <c r="C756" s="18"/>
      <c r="D756" s="11"/>
      <c r="E756" s="11"/>
      <c r="F756" s="11"/>
      <c r="G756" s="11"/>
      <c r="H756" s="12"/>
      <c r="I756" s="13"/>
      <c r="J756" s="13"/>
      <c r="K756" s="13"/>
    </row>
    <row r="757">
      <c r="A757" s="16"/>
      <c r="B757" s="17"/>
      <c r="C757" s="18"/>
      <c r="D757" s="11"/>
      <c r="E757" s="11"/>
      <c r="F757" s="11"/>
      <c r="G757" s="11"/>
      <c r="H757" s="12"/>
      <c r="I757" s="13"/>
      <c r="J757" s="13"/>
      <c r="K757" s="13"/>
    </row>
    <row r="758">
      <c r="A758" s="16"/>
      <c r="B758" s="17"/>
      <c r="C758" s="18"/>
      <c r="D758" s="11"/>
      <c r="E758" s="11"/>
      <c r="F758" s="11"/>
      <c r="G758" s="11"/>
      <c r="H758" s="12"/>
      <c r="I758" s="13"/>
      <c r="J758" s="13"/>
      <c r="K758" s="13"/>
    </row>
    <row r="759">
      <c r="A759" s="16"/>
      <c r="B759" s="17"/>
      <c r="C759" s="18"/>
      <c r="D759" s="11"/>
      <c r="E759" s="11"/>
      <c r="F759" s="11"/>
      <c r="G759" s="11"/>
      <c r="H759" s="12"/>
      <c r="I759" s="13"/>
      <c r="J759" s="13"/>
      <c r="K759" s="13"/>
    </row>
    <row r="760">
      <c r="A760" s="16"/>
      <c r="B760" s="17"/>
      <c r="C760" s="18"/>
      <c r="D760" s="11"/>
      <c r="E760" s="11"/>
      <c r="F760" s="11"/>
      <c r="G760" s="11"/>
      <c r="H760" s="12"/>
      <c r="I760" s="13"/>
      <c r="J760" s="13"/>
      <c r="K760" s="13"/>
    </row>
    <row r="761">
      <c r="A761" s="16"/>
      <c r="B761" s="17"/>
      <c r="C761" s="18"/>
      <c r="D761" s="11"/>
      <c r="E761" s="11"/>
      <c r="F761" s="11"/>
      <c r="G761" s="11"/>
      <c r="H761" s="12"/>
      <c r="I761" s="13"/>
      <c r="J761" s="13"/>
      <c r="K761" s="13"/>
    </row>
    <row r="762">
      <c r="A762" s="16"/>
      <c r="B762" s="17"/>
      <c r="C762" s="18"/>
      <c r="D762" s="11"/>
      <c r="E762" s="11"/>
      <c r="F762" s="11"/>
      <c r="G762" s="11"/>
      <c r="H762" s="12"/>
      <c r="I762" s="13"/>
      <c r="J762" s="13"/>
      <c r="K762" s="13"/>
    </row>
    <row r="763">
      <c r="A763" s="16"/>
      <c r="B763" s="17"/>
      <c r="C763" s="18"/>
      <c r="D763" s="11"/>
      <c r="E763" s="11"/>
      <c r="F763" s="11"/>
      <c r="G763" s="11"/>
      <c r="H763" s="12"/>
      <c r="I763" s="13"/>
      <c r="J763" s="13"/>
      <c r="K763" s="13"/>
    </row>
    <row r="764">
      <c r="A764" s="16"/>
      <c r="B764" s="17"/>
      <c r="C764" s="18"/>
      <c r="D764" s="11"/>
      <c r="E764" s="11"/>
      <c r="F764" s="11"/>
      <c r="G764" s="11"/>
      <c r="H764" s="12"/>
      <c r="I764" s="13"/>
      <c r="J764" s="13"/>
      <c r="K764" s="13"/>
    </row>
    <row r="765">
      <c r="A765" s="16"/>
      <c r="B765" s="17"/>
      <c r="C765" s="18"/>
      <c r="D765" s="11"/>
      <c r="E765" s="11"/>
      <c r="F765" s="11"/>
      <c r="G765" s="11"/>
      <c r="H765" s="12"/>
      <c r="I765" s="13"/>
      <c r="J765" s="13"/>
      <c r="K765" s="13"/>
    </row>
    <row r="766">
      <c r="A766" s="16"/>
      <c r="B766" s="17"/>
      <c r="C766" s="18"/>
      <c r="D766" s="11"/>
      <c r="E766" s="11"/>
      <c r="F766" s="11"/>
      <c r="G766" s="11"/>
      <c r="H766" s="12"/>
      <c r="I766" s="13"/>
      <c r="J766" s="13"/>
      <c r="K766" s="13"/>
    </row>
    <row r="767">
      <c r="A767" s="16"/>
      <c r="B767" s="17"/>
      <c r="C767" s="18"/>
      <c r="D767" s="11"/>
      <c r="E767" s="11"/>
      <c r="F767" s="11"/>
      <c r="G767" s="11"/>
      <c r="H767" s="12"/>
      <c r="I767" s="13"/>
      <c r="J767" s="13"/>
      <c r="K767" s="13"/>
    </row>
    <row r="768">
      <c r="A768" s="16"/>
      <c r="B768" s="17"/>
      <c r="C768" s="18"/>
      <c r="D768" s="11"/>
      <c r="E768" s="11"/>
      <c r="F768" s="11"/>
      <c r="G768" s="11"/>
      <c r="H768" s="12"/>
      <c r="I768" s="13"/>
      <c r="J768" s="13"/>
      <c r="K768" s="13"/>
    </row>
    <row r="769">
      <c r="A769" s="16"/>
      <c r="B769" s="17"/>
      <c r="C769" s="18"/>
      <c r="D769" s="11"/>
      <c r="E769" s="11"/>
      <c r="F769" s="11"/>
      <c r="G769" s="11"/>
      <c r="H769" s="12"/>
      <c r="I769" s="13"/>
      <c r="J769" s="13"/>
      <c r="K769" s="13"/>
    </row>
    <row r="770">
      <c r="A770" s="16"/>
      <c r="B770" s="17"/>
      <c r="C770" s="18"/>
      <c r="D770" s="11"/>
      <c r="E770" s="11"/>
      <c r="F770" s="11"/>
      <c r="G770" s="11"/>
      <c r="H770" s="12"/>
      <c r="I770" s="13"/>
      <c r="J770" s="13"/>
      <c r="K770" s="13"/>
    </row>
    <row r="771">
      <c r="A771" s="16"/>
      <c r="B771" s="17"/>
      <c r="C771" s="18"/>
      <c r="D771" s="11"/>
      <c r="E771" s="11"/>
      <c r="F771" s="11"/>
      <c r="G771" s="11"/>
      <c r="H771" s="12"/>
      <c r="I771" s="13"/>
      <c r="J771" s="13"/>
      <c r="K771" s="13"/>
    </row>
    <row r="772">
      <c r="A772" s="16"/>
      <c r="B772" s="17"/>
      <c r="C772" s="18"/>
      <c r="D772" s="11"/>
      <c r="E772" s="11"/>
      <c r="F772" s="11"/>
      <c r="G772" s="11"/>
      <c r="H772" s="12"/>
      <c r="I772" s="13"/>
      <c r="J772" s="13"/>
      <c r="K772" s="13"/>
    </row>
    <row r="773">
      <c r="A773" s="16"/>
      <c r="B773" s="17"/>
      <c r="C773" s="18"/>
      <c r="D773" s="11"/>
      <c r="E773" s="11"/>
      <c r="F773" s="11"/>
      <c r="G773" s="11"/>
      <c r="H773" s="12"/>
      <c r="I773" s="13"/>
      <c r="J773" s="13"/>
      <c r="K773" s="13"/>
    </row>
    <row r="774">
      <c r="A774" s="16"/>
      <c r="B774" s="17"/>
      <c r="C774" s="18"/>
      <c r="D774" s="11"/>
      <c r="E774" s="11"/>
      <c r="F774" s="11"/>
      <c r="G774" s="11"/>
      <c r="H774" s="12"/>
      <c r="I774" s="13"/>
      <c r="J774" s="13"/>
      <c r="K774" s="13"/>
    </row>
    <row r="775">
      <c r="A775" s="16"/>
      <c r="B775" s="17"/>
      <c r="C775" s="18"/>
      <c r="D775" s="11"/>
      <c r="E775" s="11"/>
      <c r="F775" s="11"/>
      <c r="G775" s="11"/>
      <c r="H775" s="12"/>
      <c r="I775" s="13"/>
      <c r="J775" s="13"/>
      <c r="K775" s="13"/>
    </row>
    <row r="776">
      <c r="A776" s="16"/>
      <c r="B776" s="17"/>
      <c r="C776" s="18"/>
      <c r="D776" s="11"/>
      <c r="E776" s="11"/>
      <c r="F776" s="11"/>
      <c r="G776" s="11"/>
      <c r="H776" s="12"/>
      <c r="I776" s="13"/>
      <c r="J776" s="13"/>
      <c r="K776" s="13"/>
    </row>
    <row r="777">
      <c r="A777" s="16"/>
      <c r="B777" s="17"/>
      <c r="C777" s="18"/>
      <c r="D777" s="11"/>
      <c r="E777" s="11"/>
      <c r="F777" s="11"/>
      <c r="G777" s="11"/>
      <c r="H777" s="12"/>
      <c r="I777" s="13"/>
      <c r="J777" s="13"/>
      <c r="K777" s="13"/>
    </row>
    <row r="778">
      <c r="A778" s="16"/>
      <c r="B778" s="17"/>
      <c r="C778" s="18"/>
      <c r="D778" s="11"/>
      <c r="E778" s="11"/>
      <c r="F778" s="11"/>
      <c r="G778" s="11"/>
      <c r="H778" s="12"/>
      <c r="I778" s="13"/>
      <c r="J778" s="13"/>
      <c r="K778" s="13"/>
    </row>
    <row r="779">
      <c r="A779" s="16"/>
      <c r="B779" s="17"/>
      <c r="C779" s="18"/>
      <c r="D779" s="11"/>
      <c r="E779" s="11"/>
      <c r="F779" s="11"/>
      <c r="G779" s="11"/>
      <c r="H779" s="12"/>
      <c r="I779" s="13"/>
      <c r="J779" s="13"/>
      <c r="K779" s="13"/>
    </row>
    <row r="780">
      <c r="A780" s="16"/>
      <c r="B780" s="17"/>
      <c r="C780" s="18"/>
      <c r="D780" s="11"/>
      <c r="E780" s="11"/>
      <c r="F780" s="11"/>
      <c r="G780" s="11"/>
      <c r="H780" s="12"/>
      <c r="I780" s="13"/>
      <c r="J780" s="13"/>
      <c r="K780" s="13"/>
    </row>
    <row r="781">
      <c r="A781" s="16"/>
      <c r="B781" s="17"/>
      <c r="C781" s="18"/>
      <c r="D781" s="11"/>
      <c r="E781" s="11"/>
      <c r="F781" s="11"/>
      <c r="G781" s="11"/>
      <c r="H781" s="12"/>
      <c r="I781" s="13"/>
      <c r="J781" s="13"/>
      <c r="K781" s="13"/>
    </row>
    <row r="782">
      <c r="A782" s="16"/>
      <c r="B782" s="17"/>
      <c r="C782" s="18"/>
      <c r="D782" s="11"/>
      <c r="E782" s="11"/>
      <c r="F782" s="11"/>
      <c r="G782" s="11"/>
      <c r="H782" s="12"/>
      <c r="I782" s="13"/>
      <c r="J782" s="13"/>
      <c r="K782" s="13"/>
    </row>
    <row r="783">
      <c r="A783" s="16"/>
      <c r="B783" s="17"/>
      <c r="C783" s="18"/>
      <c r="D783" s="11"/>
      <c r="E783" s="11"/>
      <c r="F783" s="11"/>
      <c r="G783" s="11"/>
      <c r="H783" s="12"/>
      <c r="I783" s="13"/>
      <c r="J783" s="13"/>
      <c r="K783" s="13"/>
    </row>
    <row r="784">
      <c r="A784" s="16"/>
      <c r="B784" s="17"/>
      <c r="C784" s="18"/>
      <c r="D784" s="11"/>
      <c r="E784" s="11"/>
      <c r="F784" s="11"/>
      <c r="G784" s="11"/>
      <c r="H784" s="12"/>
      <c r="I784" s="13"/>
      <c r="J784" s="13"/>
      <c r="K784" s="13"/>
    </row>
    <row r="785">
      <c r="A785" s="16"/>
      <c r="B785" s="17"/>
      <c r="C785" s="18"/>
      <c r="D785" s="11"/>
      <c r="E785" s="11"/>
      <c r="F785" s="11"/>
      <c r="G785" s="11"/>
      <c r="H785" s="12"/>
      <c r="I785" s="13"/>
      <c r="J785" s="13"/>
      <c r="K785" s="13"/>
    </row>
    <row r="786">
      <c r="A786" s="16"/>
      <c r="B786" s="17"/>
      <c r="C786" s="18"/>
      <c r="D786" s="11"/>
      <c r="E786" s="11"/>
      <c r="F786" s="11"/>
      <c r="G786" s="11"/>
      <c r="H786" s="12"/>
      <c r="I786" s="13"/>
      <c r="J786" s="13"/>
      <c r="K786" s="13"/>
    </row>
    <row r="787">
      <c r="A787" s="16"/>
      <c r="B787" s="17"/>
      <c r="C787" s="18"/>
      <c r="D787" s="11"/>
      <c r="E787" s="11"/>
      <c r="F787" s="11"/>
      <c r="G787" s="11"/>
      <c r="H787" s="12"/>
      <c r="I787" s="13"/>
      <c r="J787" s="13"/>
      <c r="K787" s="13"/>
    </row>
    <row r="788">
      <c r="A788" s="16"/>
      <c r="B788" s="17"/>
      <c r="C788" s="18"/>
      <c r="D788" s="11"/>
      <c r="E788" s="11"/>
      <c r="F788" s="11"/>
      <c r="G788" s="11"/>
      <c r="H788" s="12"/>
      <c r="I788" s="13"/>
      <c r="J788" s="13"/>
      <c r="K788" s="13"/>
    </row>
    <row r="789">
      <c r="A789" s="16"/>
      <c r="B789" s="17"/>
      <c r="C789" s="18"/>
      <c r="D789" s="11"/>
      <c r="E789" s="11"/>
      <c r="F789" s="11"/>
      <c r="G789" s="11"/>
      <c r="H789" s="12"/>
      <c r="I789" s="13"/>
      <c r="J789" s="13"/>
      <c r="K789" s="13"/>
    </row>
    <row r="790">
      <c r="A790" s="16"/>
      <c r="B790" s="17"/>
      <c r="C790" s="18"/>
      <c r="D790" s="11"/>
      <c r="E790" s="11"/>
      <c r="F790" s="11"/>
      <c r="G790" s="11"/>
      <c r="H790" s="12"/>
      <c r="I790" s="13"/>
      <c r="J790" s="13"/>
      <c r="K790" s="13"/>
    </row>
    <row r="791">
      <c r="A791" s="16"/>
      <c r="B791" s="17"/>
      <c r="C791" s="18"/>
      <c r="D791" s="11"/>
      <c r="E791" s="11"/>
      <c r="F791" s="11"/>
      <c r="G791" s="11"/>
      <c r="H791" s="12"/>
      <c r="I791" s="13"/>
      <c r="J791" s="13"/>
      <c r="K791" s="13"/>
    </row>
    <row r="792">
      <c r="A792" s="16"/>
      <c r="B792" s="17"/>
      <c r="C792" s="18"/>
      <c r="D792" s="11"/>
      <c r="E792" s="11"/>
      <c r="F792" s="11"/>
      <c r="G792" s="11"/>
      <c r="H792" s="12"/>
      <c r="I792" s="13"/>
      <c r="J792" s="13"/>
      <c r="K792" s="13"/>
    </row>
    <row r="793">
      <c r="A793" s="16"/>
      <c r="B793" s="17"/>
      <c r="C793" s="18"/>
      <c r="D793" s="11"/>
      <c r="E793" s="11"/>
      <c r="F793" s="11"/>
      <c r="G793" s="11"/>
      <c r="H793" s="12"/>
      <c r="I793" s="13"/>
      <c r="J793" s="13"/>
      <c r="K793" s="13"/>
    </row>
    <row r="794">
      <c r="A794" s="16"/>
      <c r="B794" s="17"/>
      <c r="C794" s="18"/>
      <c r="D794" s="11"/>
      <c r="E794" s="11"/>
      <c r="F794" s="11"/>
      <c r="G794" s="11"/>
      <c r="H794" s="12"/>
      <c r="I794" s="13"/>
      <c r="J794" s="13"/>
      <c r="K794" s="13"/>
    </row>
    <row r="795">
      <c r="A795" s="16"/>
      <c r="B795" s="17"/>
      <c r="C795" s="18"/>
      <c r="D795" s="11"/>
      <c r="E795" s="11"/>
      <c r="F795" s="11"/>
      <c r="G795" s="11"/>
      <c r="H795" s="12"/>
      <c r="I795" s="13"/>
      <c r="J795" s="13"/>
      <c r="K795" s="13"/>
    </row>
    <row r="796">
      <c r="A796" s="16"/>
      <c r="B796" s="17"/>
      <c r="C796" s="18"/>
      <c r="D796" s="11"/>
      <c r="E796" s="11"/>
      <c r="F796" s="11"/>
      <c r="G796" s="11"/>
      <c r="H796" s="12"/>
      <c r="I796" s="13"/>
      <c r="J796" s="13"/>
      <c r="K796" s="13"/>
    </row>
    <row r="797">
      <c r="A797" s="16"/>
      <c r="B797" s="17"/>
      <c r="C797" s="18"/>
      <c r="D797" s="11"/>
      <c r="E797" s="11"/>
      <c r="F797" s="11"/>
      <c r="G797" s="11"/>
      <c r="H797" s="12"/>
      <c r="I797" s="13"/>
      <c r="J797" s="13"/>
      <c r="K797" s="13"/>
    </row>
    <row r="798">
      <c r="A798" s="16"/>
      <c r="B798" s="17"/>
      <c r="C798" s="18"/>
      <c r="D798" s="11"/>
      <c r="E798" s="11"/>
      <c r="F798" s="11"/>
      <c r="G798" s="11"/>
      <c r="H798" s="12"/>
      <c r="I798" s="13"/>
      <c r="J798" s="13"/>
      <c r="K798" s="13"/>
    </row>
    <row r="799">
      <c r="A799" s="16"/>
      <c r="B799" s="17"/>
      <c r="C799" s="18"/>
      <c r="D799" s="11"/>
      <c r="E799" s="11"/>
      <c r="F799" s="11"/>
      <c r="G799" s="11"/>
      <c r="H799" s="12"/>
      <c r="I799" s="13"/>
      <c r="J799" s="13"/>
      <c r="K799" s="13"/>
    </row>
    <row r="800">
      <c r="A800" s="16"/>
      <c r="B800" s="17"/>
      <c r="C800" s="18"/>
      <c r="D800" s="11"/>
      <c r="E800" s="11"/>
      <c r="F800" s="11"/>
      <c r="G800" s="11"/>
      <c r="H800" s="12"/>
      <c r="I800" s="13"/>
      <c r="J800" s="13"/>
      <c r="K800" s="13"/>
    </row>
    <row r="801">
      <c r="A801" s="16"/>
      <c r="B801" s="17"/>
      <c r="C801" s="18"/>
      <c r="D801" s="11"/>
      <c r="E801" s="11"/>
      <c r="F801" s="11"/>
      <c r="G801" s="11"/>
      <c r="H801" s="12"/>
      <c r="I801" s="13"/>
      <c r="J801" s="13"/>
      <c r="K801" s="13"/>
    </row>
    <row r="802">
      <c r="A802" s="16"/>
      <c r="B802" s="17"/>
      <c r="C802" s="18"/>
      <c r="D802" s="11"/>
      <c r="E802" s="11"/>
      <c r="F802" s="11"/>
      <c r="G802" s="11"/>
      <c r="H802" s="12"/>
      <c r="I802" s="13"/>
      <c r="J802" s="13"/>
      <c r="K802" s="13"/>
    </row>
    <row r="803">
      <c r="A803" s="16"/>
      <c r="B803" s="17"/>
      <c r="C803" s="18"/>
      <c r="D803" s="11"/>
      <c r="E803" s="11"/>
      <c r="F803" s="11"/>
      <c r="G803" s="11"/>
      <c r="H803" s="12"/>
      <c r="I803" s="13"/>
      <c r="J803" s="13"/>
      <c r="K803" s="13"/>
    </row>
    <row r="804">
      <c r="A804" s="16"/>
      <c r="B804" s="17"/>
      <c r="C804" s="18"/>
      <c r="D804" s="11"/>
      <c r="E804" s="11"/>
      <c r="F804" s="11"/>
      <c r="G804" s="11"/>
      <c r="H804" s="12"/>
      <c r="I804" s="13"/>
      <c r="J804" s="13"/>
      <c r="K804" s="13"/>
    </row>
    <row r="805">
      <c r="A805" s="16"/>
      <c r="B805" s="17"/>
      <c r="C805" s="18"/>
      <c r="D805" s="11"/>
      <c r="E805" s="11"/>
      <c r="F805" s="11"/>
      <c r="G805" s="11"/>
      <c r="H805" s="12"/>
      <c r="I805" s="13"/>
      <c r="J805" s="13"/>
      <c r="K805" s="13"/>
    </row>
    <row r="806">
      <c r="A806" s="16"/>
      <c r="B806" s="17"/>
      <c r="C806" s="18"/>
      <c r="D806" s="11"/>
      <c r="E806" s="11"/>
      <c r="F806" s="11"/>
      <c r="G806" s="11"/>
      <c r="H806" s="12"/>
      <c r="I806" s="13"/>
      <c r="J806" s="13"/>
      <c r="K806" s="13"/>
    </row>
    <row r="807">
      <c r="A807" s="16"/>
      <c r="B807" s="17"/>
      <c r="C807" s="18"/>
      <c r="D807" s="11"/>
      <c r="E807" s="11"/>
      <c r="F807" s="11"/>
      <c r="G807" s="11"/>
      <c r="H807" s="12"/>
      <c r="I807" s="13"/>
      <c r="J807" s="13"/>
      <c r="K807" s="13"/>
    </row>
    <row r="808">
      <c r="A808" s="16"/>
      <c r="B808" s="17"/>
      <c r="C808" s="18"/>
      <c r="D808" s="11"/>
      <c r="E808" s="11"/>
      <c r="F808" s="11"/>
      <c r="G808" s="11"/>
      <c r="H808" s="12"/>
      <c r="I808" s="13"/>
      <c r="J808" s="13"/>
      <c r="K808" s="13"/>
    </row>
    <row r="809">
      <c r="A809" s="16"/>
      <c r="B809" s="17"/>
      <c r="C809" s="18"/>
      <c r="D809" s="11"/>
      <c r="E809" s="11"/>
      <c r="F809" s="11"/>
      <c r="G809" s="11"/>
      <c r="H809" s="12"/>
      <c r="I809" s="13"/>
      <c r="J809" s="13"/>
      <c r="K809" s="13"/>
    </row>
    <row r="810">
      <c r="A810" s="16"/>
      <c r="B810" s="17"/>
      <c r="C810" s="18"/>
      <c r="D810" s="11"/>
      <c r="E810" s="11"/>
      <c r="F810" s="11"/>
      <c r="G810" s="11"/>
      <c r="H810" s="12"/>
      <c r="I810" s="13"/>
      <c r="J810" s="13"/>
      <c r="K810" s="13"/>
    </row>
    <row r="811">
      <c r="A811" s="16"/>
      <c r="B811" s="17"/>
      <c r="C811" s="18"/>
      <c r="D811" s="11"/>
      <c r="E811" s="11"/>
      <c r="F811" s="11"/>
      <c r="G811" s="11"/>
      <c r="H811" s="12"/>
      <c r="I811" s="13"/>
      <c r="J811" s="13"/>
      <c r="K811" s="13"/>
    </row>
    <row r="812">
      <c r="A812" s="16"/>
      <c r="B812" s="17"/>
      <c r="C812" s="18"/>
      <c r="D812" s="11"/>
      <c r="E812" s="11"/>
      <c r="F812" s="11"/>
      <c r="G812" s="11"/>
      <c r="H812" s="12"/>
      <c r="I812" s="13"/>
      <c r="J812" s="13"/>
      <c r="K812" s="13"/>
    </row>
    <row r="813">
      <c r="A813" s="16"/>
      <c r="B813" s="17"/>
      <c r="C813" s="18"/>
      <c r="D813" s="11"/>
      <c r="E813" s="11"/>
      <c r="F813" s="11"/>
      <c r="G813" s="11"/>
      <c r="H813" s="12"/>
      <c r="I813" s="13"/>
      <c r="J813" s="13"/>
      <c r="K813" s="13"/>
    </row>
    <row r="814">
      <c r="A814" s="16"/>
      <c r="B814" s="17"/>
      <c r="C814" s="18"/>
      <c r="D814" s="11"/>
      <c r="E814" s="11"/>
      <c r="F814" s="11"/>
      <c r="G814" s="11"/>
      <c r="H814" s="12"/>
      <c r="I814" s="13"/>
      <c r="J814" s="13"/>
      <c r="K814" s="13"/>
    </row>
    <row r="815">
      <c r="A815" s="16"/>
      <c r="B815" s="17"/>
      <c r="C815" s="18"/>
      <c r="D815" s="11"/>
      <c r="E815" s="11"/>
      <c r="F815" s="11"/>
      <c r="G815" s="11"/>
      <c r="H815" s="12"/>
      <c r="I815" s="13"/>
      <c r="J815" s="13"/>
      <c r="K815" s="13"/>
    </row>
    <row r="816">
      <c r="A816" s="16"/>
      <c r="B816" s="17"/>
      <c r="C816" s="18"/>
      <c r="D816" s="11"/>
      <c r="E816" s="11"/>
      <c r="F816" s="11"/>
      <c r="G816" s="11"/>
      <c r="H816" s="12"/>
      <c r="I816" s="13"/>
      <c r="J816" s="13"/>
      <c r="K816" s="13"/>
    </row>
    <row r="817">
      <c r="A817" s="16"/>
      <c r="B817" s="17"/>
      <c r="C817" s="18"/>
      <c r="D817" s="11"/>
      <c r="E817" s="11"/>
      <c r="F817" s="11"/>
      <c r="G817" s="11"/>
      <c r="H817" s="12"/>
      <c r="I817" s="13"/>
      <c r="J817" s="13"/>
      <c r="K817" s="13"/>
    </row>
    <row r="818">
      <c r="A818" s="16"/>
      <c r="B818" s="17"/>
      <c r="C818" s="18"/>
      <c r="D818" s="11"/>
      <c r="E818" s="11"/>
      <c r="F818" s="11"/>
      <c r="G818" s="11"/>
      <c r="H818" s="12"/>
      <c r="I818" s="13"/>
      <c r="J818" s="13"/>
      <c r="K818" s="13"/>
    </row>
    <row r="819">
      <c r="A819" s="16"/>
      <c r="B819" s="17"/>
      <c r="C819" s="18"/>
      <c r="D819" s="11"/>
      <c r="E819" s="11"/>
      <c r="F819" s="11"/>
      <c r="G819" s="11"/>
      <c r="H819" s="12"/>
      <c r="I819" s="13"/>
      <c r="J819" s="13"/>
      <c r="K819" s="13"/>
    </row>
    <row r="820">
      <c r="A820" s="16"/>
      <c r="B820" s="17"/>
      <c r="C820" s="18"/>
      <c r="D820" s="11"/>
      <c r="E820" s="11"/>
      <c r="F820" s="11"/>
      <c r="G820" s="11"/>
      <c r="H820" s="12"/>
      <c r="I820" s="13"/>
      <c r="J820" s="13"/>
      <c r="K820" s="13"/>
    </row>
    <row r="821">
      <c r="A821" s="16"/>
      <c r="B821" s="17"/>
      <c r="C821" s="18"/>
      <c r="D821" s="11"/>
      <c r="E821" s="11"/>
      <c r="F821" s="11"/>
      <c r="G821" s="11"/>
      <c r="H821" s="12"/>
      <c r="I821" s="13"/>
      <c r="J821" s="13"/>
      <c r="K821" s="13"/>
    </row>
    <row r="822">
      <c r="A822" s="16"/>
      <c r="B822" s="17"/>
      <c r="C822" s="18"/>
      <c r="D822" s="11"/>
      <c r="E822" s="11"/>
      <c r="F822" s="11"/>
      <c r="G822" s="11"/>
      <c r="H822" s="12"/>
      <c r="I822" s="13"/>
      <c r="J822" s="13"/>
      <c r="K822" s="13"/>
    </row>
    <row r="823">
      <c r="A823" s="16"/>
      <c r="B823" s="17"/>
      <c r="C823" s="18"/>
      <c r="D823" s="11"/>
      <c r="E823" s="11"/>
      <c r="F823" s="11"/>
      <c r="G823" s="11"/>
      <c r="H823" s="12"/>
      <c r="I823" s="13"/>
      <c r="J823" s="13"/>
      <c r="K823" s="13"/>
    </row>
    <row r="824">
      <c r="A824" s="16"/>
      <c r="B824" s="17"/>
      <c r="C824" s="18"/>
      <c r="D824" s="11"/>
      <c r="E824" s="11"/>
      <c r="F824" s="11"/>
      <c r="G824" s="11"/>
      <c r="H824" s="12"/>
      <c r="I824" s="13"/>
      <c r="J824" s="13"/>
      <c r="K824" s="13"/>
    </row>
    <row r="825">
      <c r="A825" s="16"/>
      <c r="B825" s="17"/>
      <c r="C825" s="18"/>
      <c r="D825" s="11"/>
      <c r="E825" s="11"/>
      <c r="F825" s="11"/>
      <c r="G825" s="11"/>
      <c r="H825" s="12"/>
      <c r="I825" s="13"/>
      <c r="J825" s="13"/>
      <c r="K825" s="13"/>
    </row>
    <row r="826">
      <c r="A826" s="16"/>
      <c r="B826" s="17"/>
      <c r="C826" s="18"/>
      <c r="D826" s="11"/>
      <c r="E826" s="11"/>
      <c r="F826" s="11"/>
      <c r="G826" s="11"/>
      <c r="H826" s="12"/>
      <c r="I826" s="13"/>
      <c r="J826" s="13"/>
      <c r="K826" s="13"/>
    </row>
    <row r="827">
      <c r="A827" s="16"/>
      <c r="B827" s="17"/>
      <c r="C827" s="18"/>
      <c r="D827" s="11"/>
      <c r="E827" s="11"/>
      <c r="F827" s="11"/>
      <c r="G827" s="11"/>
      <c r="H827" s="12"/>
      <c r="I827" s="13"/>
      <c r="J827" s="13"/>
      <c r="K827" s="13"/>
    </row>
    <row r="828">
      <c r="A828" s="16"/>
      <c r="B828" s="17"/>
      <c r="C828" s="18"/>
      <c r="D828" s="11"/>
      <c r="E828" s="11"/>
      <c r="F828" s="11"/>
      <c r="G828" s="11"/>
      <c r="H828" s="12"/>
      <c r="I828" s="13"/>
      <c r="J828" s="13"/>
      <c r="K828" s="13"/>
    </row>
    <row r="829">
      <c r="A829" s="16"/>
      <c r="B829" s="17"/>
      <c r="C829" s="18"/>
      <c r="D829" s="11"/>
      <c r="E829" s="11"/>
      <c r="F829" s="11"/>
      <c r="G829" s="11"/>
      <c r="H829" s="12"/>
      <c r="I829" s="13"/>
      <c r="J829" s="13"/>
      <c r="K829" s="13"/>
    </row>
    <row r="830">
      <c r="A830" s="16"/>
      <c r="B830" s="17"/>
      <c r="C830" s="18"/>
      <c r="D830" s="11"/>
      <c r="E830" s="11"/>
      <c r="F830" s="11"/>
      <c r="G830" s="11"/>
      <c r="H830" s="12"/>
      <c r="I830" s="13"/>
      <c r="J830" s="13"/>
      <c r="K830" s="13"/>
    </row>
    <row r="831">
      <c r="A831" s="16"/>
      <c r="B831" s="17"/>
      <c r="C831" s="18"/>
      <c r="D831" s="11"/>
      <c r="E831" s="11"/>
      <c r="F831" s="11"/>
      <c r="G831" s="11"/>
      <c r="H831" s="12"/>
      <c r="I831" s="13"/>
      <c r="J831" s="13"/>
      <c r="K831" s="13"/>
    </row>
    <row r="832">
      <c r="A832" s="16"/>
      <c r="B832" s="17"/>
      <c r="C832" s="18"/>
      <c r="D832" s="11"/>
      <c r="E832" s="11"/>
      <c r="F832" s="11"/>
      <c r="G832" s="11"/>
      <c r="H832" s="12"/>
      <c r="I832" s="13"/>
      <c r="J832" s="13"/>
      <c r="K832" s="13"/>
    </row>
    <row r="833">
      <c r="A833" s="16"/>
      <c r="B833" s="17"/>
      <c r="C833" s="18"/>
      <c r="D833" s="11"/>
      <c r="E833" s="11"/>
      <c r="F833" s="11"/>
      <c r="G833" s="11"/>
      <c r="H833" s="12"/>
      <c r="I833" s="13"/>
      <c r="J833" s="13"/>
      <c r="K833" s="13"/>
    </row>
    <row r="834">
      <c r="A834" s="16"/>
      <c r="B834" s="17"/>
      <c r="C834" s="18"/>
      <c r="D834" s="11"/>
      <c r="E834" s="11"/>
      <c r="F834" s="11"/>
      <c r="G834" s="11"/>
      <c r="H834" s="12"/>
      <c r="I834" s="13"/>
      <c r="J834" s="13"/>
      <c r="K834" s="13"/>
    </row>
    <row r="835">
      <c r="A835" s="16"/>
      <c r="B835" s="17"/>
      <c r="C835" s="18"/>
      <c r="D835" s="11"/>
      <c r="E835" s="11"/>
      <c r="F835" s="11"/>
      <c r="G835" s="11"/>
      <c r="H835" s="12"/>
      <c r="I835" s="13"/>
      <c r="J835" s="13"/>
      <c r="K835" s="13"/>
    </row>
    <row r="836">
      <c r="A836" s="16"/>
      <c r="B836" s="17"/>
      <c r="C836" s="18"/>
      <c r="D836" s="11"/>
      <c r="E836" s="11"/>
      <c r="F836" s="11"/>
      <c r="G836" s="11"/>
      <c r="H836" s="12"/>
      <c r="I836" s="13"/>
      <c r="J836" s="13"/>
      <c r="K836" s="13"/>
    </row>
    <row r="837">
      <c r="A837" s="16"/>
      <c r="B837" s="17"/>
      <c r="C837" s="18"/>
      <c r="D837" s="11"/>
      <c r="E837" s="11"/>
      <c r="F837" s="11"/>
      <c r="G837" s="11"/>
      <c r="H837" s="12"/>
      <c r="I837" s="13"/>
      <c r="J837" s="13"/>
      <c r="K837" s="13"/>
    </row>
    <row r="838">
      <c r="A838" s="16"/>
      <c r="B838" s="17"/>
      <c r="C838" s="18"/>
      <c r="D838" s="11"/>
      <c r="E838" s="11"/>
      <c r="F838" s="11"/>
      <c r="G838" s="11"/>
      <c r="H838" s="12"/>
      <c r="I838" s="13"/>
      <c r="J838" s="13"/>
      <c r="K838" s="13"/>
    </row>
    <row r="839">
      <c r="A839" s="16"/>
      <c r="B839" s="17"/>
      <c r="C839" s="18"/>
      <c r="D839" s="11"/>
      <c r="E839" s="11"/>
      <c r="F839" s="11"/>
      <c r="G839" s="11"/>
      <c r="H839" s="12"/>
      <c r="I839" s="13"/>
      <c r="J839" s="13"/>
      <c r="K839" s="13"/>
    </row>
    <row r="840">
      <c r="A840" s="16"/>
      <c r="B840" s="17"/>
      <c r="C840" s="18"/>
      <c r="D840" s="11"/>
      <c r="E840" s="11"/>
      <c r="F840" s="11"/>
      <c r="G840" s="11"/>
      <c r="H840" s="12"/>
      <c r="I840" s="13"/>
      <c r="J840" s="13"/>
      <c r="K840" s="13"/>
    </row>
    <row r="841">
      <c r="A841" s="16"/>
      <c r="B841" s="17"/>
      <c r="C841" s="18"/>
      <c r="D841" s="11"/>
      <c r="E841" s="11"/>
      <c r="F841" s="11"/>
      <c r="G841" s="11"/>
      <c r="H841" s="12"/>
      <c r="I841" s="13"/>
      <c r="J841" s="13"/>
      <c r="K841" s="13"/>
    </row>
    <row r="842">
      <c r="A842" s="16"/>
      <c r="B842" s="17"/>
      <c r="C842" s="18"/>
      <c r="D842" s="11"/>
      <c r="E842" s="11"/>
      <c r="F842" s="11"/>
      <c r="G842" s="11"/>
      <c r="H842" s="12"/>
      <c r="I842" s="13"/>
      <c r="J842" s="13"/>
      <c r="K842" s="13"/>
    </row>
    <row r="843">
      <c r="A843" s="16"/>
      <c r="B843" s="17"/>
      <c r="C843" s="18"/>
      <c r="D843" s="11"/>
      <c r="E843" s="11"/>
      <c r="F843" s="11"/>
      <c r="G843" s="11"/>
      <c r="H843" s="12"/>
      <c r="I843" s="13"/>
      <c r="J843" s="13"/>
      <c r="K843" s="13"/>
    </row>
    <row r="844">
      <c r="A844" s="16"/>
      <c r="B844" s="17"/>
      <c r="C844" s="18"/>
      <c r="D844" s="11"/>
      <c r="E844" s="11"/>
      <c r="F844" s="11"/>
      <c r="G844" s="11"/>
      <c r="H844" s="12"/>
      <c r="I844" s="13"/>
      <c r="J844" s="13"/>
      <c r="K844" s="13"/>
    </row>
    <row r="845">
      <c r="A845" s="16"/>
      <c r="B845" s="17"/>
      <c r="C845" s="18"/>
      <c r="D845" s="11"/>
      <c r="E845" s="11"/>
      <c r="F845" s="11"/>
      <c r="G845" s="11"/>
      <c r="H845" s="12"/>
      <c r="I845" s="13"/>
      <c r="J845" s="13"/>
      <c r="K845" s="13"/>
    </row>
    <row r="846">
      <c r="A846" s="16"/>
      <c r="B846" s="17"/>
      <c r="C846" s="18"/>
      <c r="D846" s="11"/>
      <c r="E846" s="11"/>
      <c r="F846" s="11"/>
      <c r="G846" s="11"/>
      <c r="H846" s="12"/>
      <c r="I846" s="13"/>
      <c r="J846" s="13"/>
      <c r="K846" s="13"/>
    </row>
    <row r="847">
      <c r="A847" s="16"/>
      <c r="B847" s="17"/>
      <c r="C847" s="18"/>
      <c r="D847" s="11"/>
      <c r="E847" s="11"/>
      <c r="F847" s="11"/>
      <c r="G847" s="11"/>
      <c r="H847" s="12"/>
      <c r="I847" s="13"/>
      <c r="J847" s="13"/>
      <c r="K847" s="13"/>
    </row>
    <row r="848">
      <c r="A848" s="16"/>
      <c r="B848" s="17"/>
      <c r="C848" s="18"/>
      <c r="D848" s="11"/>
      <c r="E848" s="11"/>
      <c r="F848" s="11"/>
      <c r="G848" s="11"/>
      <c r="H848" s="12"/>
      <c r="I848" s="13"/>
      <c r="J848" s="13"/>
      <c r="K848" s="13"/>
    </row>
    <row r="849">
      <c r="A849" s="16"/>
      <c r="B849" s="17"/>
      <c r="C849" s="18"/>
      <c r="D849" s="11"/>
      <c r="E849" s="11"/>
      <c r="F849" s="11"/>
      <c r="G849" s="11"/>
      <c r="H849" s="12"/>
      <c r="I849" s="13"/>
      <c r="J849" s="13"/>
      <c r="K849" s="13"/>
    </row>
    <row r="850">
      <c r="A850" s="16"/>
      <c r="B850" s="17"/>
      <c r="C850" s="18"/>
      <c r="D850" s="11"/>
      <c r="E850" s="11"/>
      <c r="F850" s="11"/>
      <c r="G850" s="11"/>
      <c r="H850" s="12"/>
      <c r="I850" s="13"/>
      <c r="J850" s="13"/>
      <c r="K850" s="13"/>
    </row>
    <row r="851">
      <c r="A851" s="16"/>
      <c r="B851" s="17"/>
      <c r="C851" s="18"/>
      <c r="D851" s="11"/>
      <c r="E851" s="11"/>
      <c r="F851" s="11"/>
      <c r="G851" s="11"/>
      <c r="H851" s="12"/>
      <c r="I851" s="13"/>
      <c r="J851" s="13"/>
      <c r="K851" s="13"/>
    </row>
    <row r="852">
      <c r="A852" s="16"/>
      <c r="B852" s="17"/>
      <c r="C852" s="18"/>
      <c r="D852" s="11"/>
      <c r="E852" s="11"/>
      <c r="F852" s="11"/>
      <c r="G852" s="11"/>
      <c r="H852" s="12"/>
      <c r="I852" s="13"/>
      <c r="J852" s="13"/>
      <c r="K852" s="13"/>
    </row>
    <row r="853">
      <c r="A853" s="16"/>
      <c r="B853" s="17"/>
      <c r="C853" s="18"/>
      <c r="D853" s="11"/>
      <c r="E853" s="11"/>
      <c r="F853" s="11"/>
      <c r="G853" s="11"/>
      <c r="H853" s="12"/>
      <c r="I853" s="13"/>
      <c r="J853" s="13"/>
      <c r="K853" s="13"/>
    </row>
    <row r="854">
      <c r="A854" s="16"/>
      <c r="B854" s="17"/>
      <c r="C854" s="18"/>
      <c r="D854" s="11"/>
      <c r="E854" s="11"/>
      <c r="F854" s="11"/>
      <c r="G854" s="11"/>
      <c r="H854" s="12"/>
      <c r="I854" s="13"/>
      <c r="J854" s="13"/>
      <c r="K854" s="13"/>
    </row>
    <row r="855">
      <c r="A855" s="16"/>
      <c r="B855" s="17"/>
      <c r="C855" s="18"/>
      <c r="D855" s="11"/>
      <c r="E855" s="11"/>
      <c r="F855" s="11"/>
      <c r="G855" s="11"/>
      <c r="H855" s="12"/>
      <c r="I855" s="13"/>
      <c r="J855" s="13"/>
      <c r="K855" s="13"/>
    </row>
    <row r="856">
      <c r="A856" s="16"/>
      <c r="B856" s="17"/>
      <c r="C856" s="18"/>
      <c r="D856" s="11"/>
      <c r="E856" s="11"/>
      <c r="F856" s="11"/>
      <c r="G856" s="11"/>
      <c r="H856" s="12"/>
      <c r="I856" s="13"/>
      <c r="J856" s="13"/>
      <c r="K856" s="13"/>
    </row>
    <row r="857">
      <c r="A857" s="16"/>
      <c r="B857" s="17"/>
      <c r="C857" s="18"/>
      <c r="D857" s="11"/>
      <c r="E857" s="11"/>
      <c r="F857" s="11"/>
      <c r="G857" s="11"/>
      <c r="H857" s="12"/>
      <c r="I857" s="13"/>
      <c r="J857" s="13"/>
      <c r="K857" s="13"/>
    </row>
    <row r="858">
      <c r="A858" s="16"/>
      <c r="B858" s="17"/>
      <c r="C858" s="18"/>
      <c r="D858" s="11"/>
      <c r="E858" s="11"/>
      <c r="F858" s="11"/>
      <c r="G858" s="11"/>
      <c r="H858" s="12"/>
      <c r="I858" s="13"/>
      <c r="J858" s="13"/>
      <c r="K858" s="13"/>
    </row>
    <row r="859">
      <c r="A859" s="16"/>
      <c r="B859" s="17"/>
      <c r="C859" s="18"/>
      <c r="D859" s="11"/>
      <c r="E859" s="11"/>
      <c r="F859" s="11"/>
      <c r="G859" s="11"/>
      <c r="H859" s="12"/>
      <c r="I859" s="13"/>
      <c r="J859" s="13"/>
      <c r="K859" s="13"/>
    </row>
    <row r="860">
      <c r="A860" s="16"/>
      <c r="B860" s="17"/>
      <c r="C860" s="18"/>
      <c r="D860" s="11"/>
      <c r="E860" s="11"/>
      <c r="F860" s="11"/>
      <c r="G860" s="11"/>
      <c r="H860" s="12"/>
      <c r="I860" s="13"/>
      <c r="J860" s="13"/>
      <c r="K860" s="13"/>
    </row>
    <row r="861">
      <c r="A861" s="16"/>
      <c r="B861" s="17"/>
      <c r="C861" s="18"/>
      <c r="D861" s="11"/>
      <c r="E861" s="11"/>
      <c r="F861" s="11"/>
      <c r="G861" s="11"/>
      <c r="H861" s="12"/>
      <c r="I861" s="13"/>
      <c r="J861" s="13"/>
      <c r="K861" s="13"/>
    </row>
    <row r="862">
      <c r="A862" s="16"/>
      <c r="B862" s="17"/>
      <c r="C862" s="18"/>
      <c r="D862" s="11"/>
      <c r="E862" s="11"/>
      <c r="F862" s="11"/>
      <c r="G862" s="11"/>
      <c r="H862" s="12"/>
      <c r="I862" s="13"/>
      <c r="J862" s="13"/>
      <c r="K862" s="13"/>
    </row>
    <row r="863">
      <c r="A863" s="16"/>
      <c r="B863" s="17"/>
      <c r="C863" s="18"/>
      <c r="D863" s="11"/>
      <c r="E863" s="11"/>
      <c r="F863" s="11"/>
      <c r="G863" s="11"/>
      <c r="H863" s="12"/>
      <c r="I863" s="13"/>
      <c r="J863" s="13"/>
      <c r="K863" s="13"/>
    </row>
    <row r="864">
      <c r="A864" s="16"/>
      <c r="B864" s="17"/>
      <c r="C864" s="18"/>
      <c r="D864" s="11"/>
      <c r="E864" s="11"/>
      <c r="F864" s="11"/>
      <c r="G864" s="11"/>
      <c r="H864" s="12"/>
      <c r="I864" s="13"/>
      <c r="J864" s="13"/>
      <c r="K864" s="13"/>
    </row>
    <row r="865">
      <c r="A865" s="16"/>
      <c r="B865" s="17"/>
      <c r="C865" s="18"/>
      <c r="D865" s="11"/>
      <c r="E865" s="11"/>
      <c r="F865" s="11"/>
      <c r="G865" s="11"/>
      <c r="H865" s="12"/>
      <c r="I865" s="13"/>
      <c r="J865" s="13"/>
      <c r="K865" s="13"/>
    </row>
    <row r="866">
      <c r="A866" s="16"/>
      <c r="B866" s="17"/>
      <c r="C866" s="18"/>
      <c r="D866" s="11"/>
      <c r="E866" s="11"/>
      <c r="F866" s="11"/>
      <c r="G866" s="11"/>
      <c r="H866" s="12"/>
      <c r="I866" s="13"/>
      <c r="J866" s="13"/>
      <c r="K866" s="13"/>
    </row>
    <row r="867">
      <c r="A867" s="16"/>
      <c r="B867" s="17"/>
      <c r="C867" s="18"/>
      <c r="D867" s="11"/>
      <c r="E867" s="11"/>
      <c r="F867" s="11"/>
      <c r="G867" s="11"/>
      <c r="H867" s="12"/>
      <c r="I867" s="13"/>
      <c r="J867" s="13"/>
      <c r="K867" s="13"/>
    </row>
    <row r="868">
      <c r="A868" s="16"/>
      <c r="B868" s="17"/>
      <c r="C868" s="18"/>
      <c r="D868" s="11"/>
      <c r="E868" s="11"/>
      <c r="F868" s="11"/>
      <c r="G868" s="11"/>
      <c r="H868" s="12"/>
      <c r="I868" s="13"/>
      <c r="J868" s="13"/>
      <c r="K868" s="13"/>
    </row>
    <row r="869">
      <c r="A869" s="16"/>
      <c r="B869" s="17"/>
      <c r="C869" s="18"/>
      <c r="D869" s="11"/>
      <c r="E869" s="11"/>
      <c r="F869" s="11"/>
      <c r="G869" s="11"/>
      <c r="H869" s="12"/>
      <c r="I869" s="13"/>
      <c r="J869" s="13"/>
      <c r="K869" s="13"/>
    </row>
    <row r="870">
      <c r="A870" s="16"/>
      <c r="B870" s="17"/>
      <c r="C870" s="18"/>
      <c r="D870" s="11"/>
      <c r="E870" s="11"/>
      <c r="F870" s="11"/>
      <c r="G870" s="11"/>
      <c r="H870" s="12"/>
      <c r="I870" s="13"/>
      <c r="J870" s="13"/>
      <c r="K870" s="13"/>
    </row>
    <row r="871">
      <c r="A871" s="16"/>
      <c r="B871" s="17"/>
      <c r="C871" s="18"/>
      <c r="D871" s="11"/>
      <c r="E871" s="11"/>
      <c r="F871" s="11"/>
      <c r="G871" s="11"/>
      <c r="H871" s="12"/>
      <c r="I871" s="13"/>
      <c r="J871" s="13"/>
      <c r="K871" s="13"/>
    </row>
    <row r="872">
      <c r="A872" s="16"/>
      <c r="B872" s="17"/>
      <c r="C872" s="18"/>
      <c r="D872" s="11"/>
      <c r="E872" s="11"/>
      <c r="F872" s="11"/>
      <c r="G872" s="11"/>
      <c r="H872" s="12"/>
      <c r="I872" s="13"/>
      <c r="J872" s="13"/>
      <c r="K872" s="13"/>
    </row>
    <row r="873">
      <c r="A873" s="16"/>
      <c r="B873" s="17"/>
      <c r="C873" s="18"/>
      <c r="D873" s="11"/>
      <c r="E873" s="11"/>
      <c r="F873" s="11"/>
      <c r="G873" s="11"/>
      <c r="H873" s="12"/>
      <c r="I873" s="13"/>
      <c r="J873" s="13"/>
      <c r="K873" s="13"/>
    </row>
    <row r="874">
      <c r="A874" s="16"/>
      <c r="B874" s="17"/>
      <c r="C874" s="18"/>
      <c r="D874" s="11"/>
      <c r="E874" s="11"/>
      <c r="F874" s="11"/>
      <c r="G874" s="11"/>
      <c r="H874" s="12"/>
      <c r="I874" s="13"/>
      <c r="J874" s="13"/>
      <c r="K874" s="13"/>
    </row>
    <row r="875">
      <c r="A875" s="16"/>
      <c r="B875" s="17"/>
      <c r="C875" s="18"/>
      <c r="D875" s="11"/>
      <c r="E875" s="11"/>
      <c r="F875" s="11"/>
      <c r="G875" s="11"/>
      <c r="H875" s="12"/>
      <c r="I875" s="13"/>
      <c r="J875" s="13"/>
      <c r="K875" s="13"/>
    </row>
    <row r="876">
      <c r="A876" s="16"/>
      <c r="B876" s="17"/>
      <c r="C876" s="18"/>
      <c r="D876" s="11"/>
      <c r="E876" s="11"/>
      <c r="F876" s="11"/>
      <c r="G876" s="11"/>
      <c r="H876" s="12"/>
      <c r="I876" s="13"/>
      <c r="J876" s="13"/>
      <c r="K876" s="13"/>
    </row>
    <row r="877">
      <c r="A877" s="16"/>
      <c r="B877" s="17"/>
      <c r="C877" s="18"/>
      <c r="D877" s="11"/>
      <c r="E877" s="11"/>
      <c r="F877" s="11"/>
      <c r="G877" s="11"/>
      <c r="H877" s="12"/>
      <c r="I877" s="13"/>
      <c r="J877" s="13"/>
      <c r="K877" s="13"/>
    </row>
    <row r="878">
      <c r="A878" s="16"/>
      <c r="B878" s="17"/>
      <c r="C878" s="18"/>
      <c r="D878" s="11"/>
      <c r="E878" s="11"/>
      <c r="F878" s="11"/>
      <c r="G878" s="11"/>
      <c r="H878" s="12"/>
      <c r="I878" s="13"/>
      <c r="J878" s="13"/>
      <c r="K878" s="13"/>
    </row>
    <row r="879">
      <c r="A879" s="16"/>
      <c r="B879" s="17"/>
      <c r="C879" s="18"/>
      <c r="D879" s="11"/>
      <c r="E879" s="11"/>
      <c r="F879" s="11"/>
      <c r="G879" s="11"/>
      <c r="H879" s="12"/>
      <c r="I879" s="13"/>
      <c r="J879" s="13"/>
      <c r="K879" s="13"/>
    </row>
    <row r="880">
      <c r="A880" s="16"/>
      <c r="B880" s="17"/>
      <c r="C880" s="18"/>
      <c r="D880" s="11"/>
      <c r="E880" s="11"/>
      <c r="F880" s="11"/>
      <c r="G880" s="11"/>
      <c r="H880" s="12"/>
      <c r="I880" s="13"/>
      <c r="J880" s="13"/>
      <c r="K880" s="13"/>
    </row>
    <row r="881">
      <c r="A881" s="16"/>
      <c r="B881" s="17"/>
      <c r="C881" s="18"/>
      <c r="D881" s="11"/>
      <c r="E881" s="11"/>
      <c r="F881" s="11"/>
      <c r="G881" s="11"/>
      <c r="H881" s="12"/>
      <c r="I881" s="13"/>
      <c r="J881" s="13"/>
      <c r="K881" s="13"/>
    </row>
    <row r="882">
      <c r="A882" s="16"/>
      <c r="B882" s="17"/>
      <c r="C882" s="18"/>
      <c r="D882" s="11"/>
      <c r="E882" s="11"/>
      <c r="F882" s="11"/>
      <c r="G882" s="11"/>
      <c r="H882" s="12"/>
      <c r="I882" s="13"/>
      <c r="J882" s="13"/>
      <c r="K882" s="13"/>
    </row>
    <row r="883">
      <c r="A883" s="16"/>
      <c r="B883" s="17"/>
      <c r="C883" s="18"/>
      <c r="D883" s="11"/>
      <c r="E883" s="11"/>
      <c r="F883" s="11"/>
      <c r="G883" s="11"/>
      <c r="H883" s="12"/>
      <c r="I883" s="13"/>
      <c r="J883" s="13"/>
      <c r="K883" s="13"/>
    </row>
    <row r="884">
      <c r="A884" s="16"/>
      <c r="B884" s="17"/>
      <c r="C884" s="18"/>
      <c r="D884" s="11"/>
      <c r="E884" s="11"/>
      <c r="F884" s="11"/>
      <c r="G884" s="11"/>
      <c r="H884" s="12"/>
      <c r="I884" s="13"/>
      <c r="J884" s="13"/>
      <c r="K884" s="13"/>
    </row>
    <row r="885">
      <c r="A885" s="16"/>
      <c r="B885" s="17"/>
      <c r="C885" s="18"/>
      <c r="D885" s="11"/>
      <c r="E885" s="11"/>
      <c r="F885" s="11"/>
      <c r="G885" s="11"/>
      <c r="H885" s="12"/>
      <c r="I885" s="13"/>
      <c r="J885" s="13"/>
      <c r="K885" s="13"/>
    </row>
    <row r="886">
      <c r="A886" s="16"/>
      <c r="B886" s="17"/>
      <c r="C886" s="18"/>
      <c r="D886" s="11"/>
      <c r="E886" s="11"/>
      <c r="F886" s="11"/>
      <c r="G886" s="11"/>
      <c r="H886" s="12"/>
      <c r="I886" s="13"/>
      <c r="J886" s="13"/>
      <c r="K886" s="13"/>
    </row>
    <row r="887">
      <c r="A887" s="16"/>
      <c r="B887" s="17"/>
      <c r="C887" s="18"/>
      <c r="D887" s="11"/>
      <c r="E887" s="11"/>
      <c r="F887" s="11"/>
      <c r="G887" s="11"/>
      <c r="H887" s="12"/>
      <c r="I887" s="13"/>
      <c r="J887" s="13"/>
      <c r="K887" s="13"/>
    </row>
    <row r="888">
      <c r="A888" s="16"/>
      <c r="B888" s="17"/>
      <c r="C888" s="18"/>
      <c r="D888" s="11"/>
      <c r="E888" s="11"/>
      <c r="F888" s="11"/>
      <c r="G888" s="11"/>
      <c r="H888" s="12"/>
      <c r="I888" s="13"/>
      <c r="J888" s="13"/>
      <c r="K888" s="13"/>
    </row>
    <row r="889">
      <c r="A889" s="16"/>
      <c r="B889" s="17"/>
      <c r="C889" s="18"/>
      <c r="D889" s="11"/>
      <c r="E889" s="11"/>
      <c r="F889" s="11"/>
      <c r="G889" s="11"/>
      <c r="H889" s="12"/>
      <c r="I889" s="13"/>
      <c r="J889" s="13"/>
      <c r="K889" s="13"/>
    </row>
    <row r="890">
      <c r="A890" s="16"/>
      <c r="B890" s="17"/>
      <c r="C890" s="18"/>
      <c r="D890" s="11"/>
      <c r="E890" s="11"/>
      <c r="F890" s="11"/>
      <c r="G890" s="11"/>
      <c r="H890" s="12"/>
      <c r="I890" s="13"/>
      <c r="J890" s="13"/>
      <c r="K890" s="13"/>
    </row>
    <row r="891">
      <c r="A891" s="16"/>
      <c r="B891" s="17"/>
      <c r="C891" s="18"/>
      <c r="D891" s="11"/>
      <c r="E891" s="11"/>
      <c r="F891" s="11"/>
      <c r="G891" s="11"/>
      <c r="H891" s="12"/>
      <c r="I891" s="13"/>
      <c r="J891" s="13"/>
      <c r="K891" s="13"/>
    </row>
    <row r="892">
      <c r="A892" s="16"/>
      <c r="B892" s="17"/>
      <c r="C892" s="18"/>
      <c r="D892" s="11"/>
      <c r="E892" s="11"/>
      <c r="F892" s="11"/>
      <c r="G892" s="11"/>
      <c r="H892" s="12"/>
      <c r="I892" s="13"/>
      <c r="J892" s="13"/>
      <c r="K892" s="13"/>
    </row>
    <row r="893">
      <c r="A893" s="16"/>
      <c r="B893" s="17"/>
      <c r="C893" s="18"/>
      <c r="D893" s="11"/>
      <c r="E893" s="11"/>
      <c r="F893" s="11"/>
      <c r="G893" s="11"/>
      <c r="H893" s="12"/>
      <c r="I893" s="13"/>
      <c r="J893" s="13"/>
      <c r="K893" s="13"/>
    </row>
    <row r="894">
      <c r="A894" s="16"/>
      <c r="B894" s="17"/>
      <c r="C894" s="18"/>
      <c r="D894" s="11"/>
      <c r="E894" s="11"/>
      <c r="F894" s="11"/>
      <c r="G894" s="11"/>
      <c r="H894" s="12"/>
      <c r="I894" s="13"/>
      <c r="J894" s="13"/>
      <c r="K894" s="13"/>
    </row>
    <row r="895">
      <c r="A895" s="16"/>
      <c r="B895" s="17"/>
      <c r="C895" s="18"/>
      <c r="D895" s="11"/>
      <c r="E895" s="11"/>
      <c r="F895" s="11"/>
      <c r="G895" s="11"/>
      <c r="H895" s="12"/>
      <c r="I895" s="13"/>
      <c r="J895" s="13"/>
      <c r="K895" s="13"/>
    </row>
    <row r="896">
      <c r="A896" s="16"/>
      <c r="B896" s="17"/>
      <c r="C896" s="18"/>
      <c r="D896" s="11"/>
      <c r="E896" s="11"/>
      <c r="F896" s="11"/>
      <c r="G896" s="11"/>
      <c r="H896" s="12"/>
      <c r="I896" s="13"/>
      <c r="J896" s="13"/>
      <c r="K896" s="13"/>
    </row>
    <row r="897">
      <c r="A897" s="16"/>
      <c r="B897" s="17"/>
      <c r="C897" s="18"/>
      <c r="D897" s="11"/>
      <c r="E897" s="11"/>
      <c r="F897" s="11"/>
      <c r="G897" s="11"/>
      <c r="H897" s="12"/>
      <c r="I897" s="13"/>
      <c r="J897" s="13"/>
      <c r="K897" s="13"/>
    </row>
    <row r="898">
      <c r="A898" s="16"/>
      <c r="B898" s="17"/>
      <c r="C898" s="18"/>
      <c r="D898" s="11"/>
      <c r="E898" s="11"/>
      <c r="F898" s="11"/>
      <c r="G898" s="11"/>
      <c r="H898" s="12"/>
      <c r="I898" s="13"/>
      <c r="J898" s="13"/>
      <c r="K898" s="13"/>
    </row>
    <row r="899">
      <c r="A899" s="16"/>
      <c r="B899" s="17"/>
      <c r="C899" s="18"/>
      <c r="D899" s="11"/>
      <c r="E899" s="11"/>
      <c r="F899" s="11"/>
      <c r="G899" s="11"/>
      <c r="H899" s="12"/>
      <c r="I899" s="13"/>
      <c r="J899" s="13"/>
      <c r="K899" s="13"/>
    </row>
    <row r="900">
      <c r="A900" s="16"/>
      <c r="B900" s="17"/>
      <c r="C900" s="18"/>
      <c r="D900" s="11"/>
      <c r="E900" s="11"/>
      <c r="F900" s="11"/>
      <c r="G900" s="11"/>
      <c r="H900" s="12"/>
      <c r="I900" s="13"/>
      <c r="J900" s="13"/>
      <c r="K900" s="13"/>
    </row>
    <row r="901">
      <c r="A901" s="16"/>
      <c r="B901" s="17"/>
      <c r="C901" s="18"/>
      <c r="D901" s="11"/>
      <c r="E901" s="11"/>
      <c r="F901" s="11"/>
      <c r="G901" s="11"/>
      <c r="H901" s="12"/>
      <c r="I901" s="13"/>
      <c r="J901" s="13"/>
      <c r="K901" s="13"/>
    </row>
    <row r="902">
      <c r="A902" s="16"/>
      <c r="B902" s="17"/>
      <c r="C902" s="18"/>
      <c r="D902" s="11"/>
      <c r="E902" s="11"/>
      <c r="F902" s="11"/>
      <c r="G902" s="11"/>
      <c r="H902" s="12"/>
      <c r="I902" s="13"/>
      <c r="J902" s="13"/>
      <c r="K902" s="13"/>
    </row>
    <row r="903">
      <c r="A903" s="16"/>
      <c r="B903" s="17"/>
      <c r="C903" s="18"/>
      <c r="D903" s="11"/>
      <c r="E903" s="11"/>
      <c r="F903" s="11"/>
      <c r="G903" s="11"/>
      <c r="H903" s="12"/>
      <c r="I903" s="13"/>
      <c r="J903" s="13"/>
      <c r="K903" s="13"/>
    </row>
    <row r="904">
      <c r="A904" s="16"/>
      <c r="B904" s="17"/>
      <c r="C904" s="18"/>
      <c r="D904" s="11"/>
      <c r="E904" s="11"/>
      <c r="F904" s="11"/>
      <c r="G904" s="11"/>
      <c r="H904" s="12"/>
      <c r="I904" s="13"/>
      <c r="J904" s="13"/>
      <c r="K904" s="13"/>
    </row>
    <row r="905">
      <c r="A905" s="16"/>
      <c r="B905" s="17"/>
      <c r="C905" s="18"/>
      <c r="D905" s="11"/>
      <c r="E905" s="11"/>
      <c r="F905" s="11"/>
      <c r="G905" s="11"/>
      <c r="H905" s="12"/>
      <c r="I905" s="13"/>
      <c r="J905" s="13"/>
      <c r="K905" s="13"/>
    </row>
    <row r="906">
      <c r="A906" s="16"/>
      <c r="B906" s="17"/>
      <c r="C906" s="18"/>
      <c r="D906" s="11"/>
      <c r="E906" s="11"/>
      <c r="F906" s="11"/>
      <c r="G906" s="11"/>
      <c r="H906" s="12"/>
      <c r="I906" s="13"/>
      <c r="J906" s="13"/>
      <c r="K906" s="13"/>
    </row>
    <row r="907">
      <c r="A907" s="16"/>
      <c r="B907" s="17"/>
      <c r="C907" s="18"/>
      <c r="D907" s="11"/>
      <c r="E907" s="11"/>
      <c r="F907" s="11"/>
      <c r="G907" s="11"/>
      <c r="H907" s="12"/>
      <c r="I907" s="13"/>
      <c r="J907" s="13"/>
      <c r="K907" s="13"/>
    </row>
    <row r="908">
      <c r="A908" s="16"/>
      <c r="B908" s="17"/>
      <c r="C908" s="18"/>
      <c r="D908" s="11"/>
      <c r="E908" s="11"/>
      <c r="F908" s="11"/>
      <c r="G908" s="11"/>
      <c r="H908" s="12"/>
      <c r="I908" s="13"/>
      <c r="J908" s="13"/>
      <c r="K908" s="13"/>
    </row>
    <row r="909">
      <c r="A909" s="16"/>
      <c r="B909" s="17"/>
      <c r="C909" s="18"/>
      <c r="D909" s="11"/>
      <c r="E909" s="11"/>
      <c r="F909" s="11"/>
      <c r="G909" s="11"/>
      <c r="H909" s="12"/>
      <c r="I909" s="13"/>
      <c r="J909" s="13"/>
      <c r="K909" s="13"/>
    </row>
    <row r="910">
      <c r="A910" s="16"/>
      <c r="B910" s="17"/>
      <c r="C910" s="18"/>
      <c r="D910" s="11"/>
      <c r="E910" s="11"/>
      <c r="F910" s="11"/>
      <c r="G910" s="11"/>
      <c r="H910" s="12"/>
      <c r="I910" s="13"/>
      <c r="J910" s="13"/>
      <c r="K910" s="13"/>
    </row>
    <row r="911">
      <c r="A911" s="16"/>
      <c r="B911" s="17"/>
      <c r="C911" s="18"/>
      <c r="D911" s="11"/>
      <c r="E911" s="11"/>
      <c r="F911" s="11"/>
      <c r="G911" s="11"/>
      <c r="H911" s="12"/>
      <c r="I911" s="13"/>
      <c r="J911" s="13"/>
      <c r="K911" s="13"/>
    </row>
    <row r="912">
      <c r="A912" s="16"/>
      <c r="B912" s="17"/>
      <c r="C912" s="18"/>
      <c r="D912" s="11"/>
      <c r="E912" s="11"/>
      <c r="F912" s="11"/>
      <c r="G912" s="11"/>
      <c r="H912" s="12"/>
      <c r="I912" s="13"/>
      <c r="J912" s="13"/>
      <c r="K912" s="13"/>
    </row>
    <row r="913">
      <c r="A913" s="16"/>
      <c r="B913" s="17"/>
      <c r="C913" s="18"/>
      <c r="D913" s="11"/>
      <c r="E913" s="11"/>
      <c r="F913" s="11"/>
      <c r="G913" s="11"/>
      <c r="H913" s="12"/>
      <c r="I913" s="13"/>
      <c r="J913" s="13"/>
      <c r="K913" s="13"/>
    </row>
    <row r="914">
      <c r="A914" s="16"/>
      <c r="B914" s="17"/>
      <c r="C914" s="18"/>
      <c r="D914" s="11"/>
      <c r="E914" s="11"/>
      <c r="F914" s="11"/>
      <c r="G914" s="11"/>
      <c r="H914" s="12"/>
      <c r="I914" s="13"/>
      <c r="J914" s="13"/>
      <c r="K914" s="13"/>
    </row>
    <row r="915">
      <c r="A915" s="16"/>
      <c r="B915" s="17"/>
      <c r="C915" s="18"/>
      <c r="D915" s="11"/>
      <c r="E915" s="11"/>
      <c r="F915" s="11"/>
      <c r="G915" s="11"/>
      <c r="H915" s="12"/>
      <c r="I915" s="13"/>
      <c r="J915" s="13"/>
      <c r="K915" s="13"/>
    </row>
    <row r="916">
      <c r="A916" s="16"/>
      <c r="B916" s="17"/>
      <c r="C916" s="18"/>
      <c r="D916" s="11"/>
      <c r="E916" s="11"/>
      <c r="F916" s="11"/>
      <c r="G916" s="11"/>
      <c r="H916" s="12"/>
      <c r="I916" s="13"/>
      <c r="J916" s="13"/>
      <c r="K916" s="13"/>
    </row>
    <row r="917">
      <c r="A917" s="16"/>
      <c r="B917" s="17"/>
      <c r="C917" s="18"/>
      <c r="D917" s="11"/>
      <c r="E917" s="11"/>
      <c r="F917" s="11"/>
      <c r="G917" s="11"/>
      <c r="H917" s="12"/>
      <c r="I917" s="13"/>
      <c r="J917" s="13"/>
      <c r="K917" s="13"/>
    </row>
    <row r="918">
      <c r="A918" s="16"/>
      <c r="B918" s="17"/>
      <c r="C918" s="18"/>
      <c r="D918" s="11"/>
      <c r="E918" s="11"/>
      <c r="F918" s="11"/>
      <c r="G918" s="11"/>
      <c r="H918" s="12"/>
      <c r="I918" s="13"/>
      <c r="J918" s="13"/>
      <c r="K918" s="13"/>
    </row>
    <row r="919">
      <c r="A919" s="16"/>
      <c r="B919" s="17"/>
      <c r="C919" s="18"/>
      <c r="D919" s="11"/>
      <c r="E919" s="11"/>
      <c r="F919" s="11"/>
      <c r="G919" s="11"/>
      <c r="H919" s="12"/>
      <c r="I919" s="13"/>
      <c r="J919" s="13"/>
      <c r="K919" s="13"/>
    </row>
    <row r="920">
      <c r="A920" s="16"/>
      <c r="B920" s="17"/>
      <c r="C920" s="18"/>
      <c r="D920" s="11"/>
      <c r="E920" s="11"/>
      <c r="F920" s="11"/>
      <c r="G920" s="11"/>
      <c r="H920" s="12"/>
      <c r="I920" s="13"/>
      <c r="J920" s="13"/>
      <c r="K920" s="13"/>
    </row>
    <row r="921">
      <c r="A921" s="16"/>
      <c r="B921" s="17"/>
      <c r="C921" s="18"/>
      <c r="D921" s="11"/>
      <c r="E921" s="11"/>
      <c r="F921" s="11"/>
      <c r="G921" s="11"/>
      <c r="H921" s="12"/>
      <c r="I921" s="13"/>
      <c r="J921" s="13"/>
      <c r="K921" s="13"/>
    </row>
    <row r="922">
      <c r="A922" s="16"/>
      <c r="B922" s="17"/>
      <c r="C922" s="18"/>
      <c r="D922" s="11"/>
      <c r="E922" s="11"/>
      <c r="F922" s="11"/>
      <c r="G922" s="11"/>
      <c r="H922" s="12"/>
      <c r="I922" s="13"/>
      <c r="J922" s="13"/>
      <c r="K922" s="13"/>
    </row>
    <row r="923">
      <c r="A923" s="16"/>
      <c r="B923" s="17"/>
      <c r="C923" s="18"/>
      <c r="D923" s="11"/>
      <c r="E923" s="11"/>
      <c r="F923" s="11"/>
      <c r="G923" s="11"/>
      <c r="H923" s="12"/>
      <c r="I923" s="13"/>
      <c r="J923" s="13"/>
      <c r="K923" s="13"/>
    </row>
    <row r="924">
      <c r="A924" s="16"/>
      <c r="B924" s="17"/>
      <c r="C924" s="18"/>
      <c r="D924" s="11"/>
      <c r="E924" s="11"/>
      <c r="F924" s="11"/>
      <c r="G924" s="11"/>
      <c r="H924" s="12"/>
      <c r="I924" s="13"/>
      <c r="J924" s="13"/>
      <c r="K924" s="13"/>
    </row>
    <row r="925">
      <c r="A925" s="16"/>
      <c r="B925" s="17"/>
      <c r="C925" s="18"/>
      <c r="D925" s="11"/>
      <c r="E925" s="11"/>
      <c r="F925" s="11"/>
      <c r="G925" s="11"/>
      <c r="H925" s="12"/>
      <c r="I925" s="13"/>
      <c r="J925" s="13"/>
      <c r="K925" s="13"/>
    </row>
    <row r="926">
      <c r="A926" s="16"/>
      <c r="B926" s="17"/>
      <c r="C926" s="18"/>
      <c r="D926" s="11"/>
      <c r="E926" s="11"/>
      <c r="F926" s="11"/>
      <c r="G926" s="11"/>
      <c r="H926" s="12"/>
      <c r="I926" s="13"/>
      <c r="J926" s="13"/>
      <c r="K926" s="13"/>
    </row>
    <row r="927">
      <c r="A927" s="16"/>
      <c r="B927" s="17"/>
      <c r="C927" s="18"/>
      <c r="D927" s="11"/>
      <c r="E927" s="11"/>
      <c r="F927" s="11"/>
      <c r="G927" s="11"/>
      <c r="H927" s="12"/>
      <c r="I927" s="13"/>
      <c r="J927" s="13"/>
      <c r="K927" s="13"/>
    </row>
    <row r="928">
      <c r="A928" s="16"/>
      <c r="B928" s="17"/>
      <c r="C928" s="18"/>
      <c r="D928" s="11"/>
      <c r="E928" s="11"/>
      <c r="F928" s="11"/>
      <c r="G928" s="11"/>
      <c r="H928" s="12"/>
      <c r="I928" s="13"/>
      <c r="J928" s="13"/>
      <c r="K928" s="13"/>
    </row>
    <row r="929">
      <c r="A929" s="16"/>
      <c r="B929" s="17"/>
      <c r="C929" s="18"/>
      <c r="D929" s="11"/>
      <c r="E929" s="11"/>
      <c r="F929" s="11"/>
      <c r="G929" s="11"/>
      <c r="H929" s="12"/>
      <c r="I929" s="13"/>
      <c r="J929" s="13"/>
      <c r="K929" s="13"/>
    </row>
    <row r="930">
      <c r="A930" s="16"/>
      <c r="B930" s="17"/>
      <c r="C930" s="18"/>
      <c r="D930" s="11"/>
      <c r="E930" s="11"/>
      <c r="F930" s="11"/>
      <c r="G930" s="11"/>
      <c r="H930" s="12"/>
      <c r="I930" s="13"/>
      <c r="J930" s="13"/>
      <c r="K930" s="13"/>
    </row>
    <row r="931">
      <c r="A931" s="16"/>
      <c r="B931" s="17"/>
      <c r="C931" s="18"/>
      <c r="D931" s="11"/>
      <c r="E931" s="11"/>
      <c r="F931" s="11"/>
      <c r="G931" s="11"/>
      <c r="H931" s="12"/>
      <c r="I931" s="13"/>
      <c r="J931" s="13"/>
      <c r="K931" s="13"/>
    </row>
    <row r="932">
      <c r="A932" s="16"/>
      <c r="B932" s="17"/>
      <c r="C932" s="18"/>
      <c r="D932" s="11"/>
      <c r="E932" s="11"/>
      <c r="F932" s="11"/>
      <c r="G932" s="11"/>
      <c r="H932" s="12"/>
      <c r="I932" s="13"/>
      <c r="J932" s="13"/>
      <c r="K932" s="13"/>
    </row>
    <row r="933">
      <c r="A933" s="16"/>
      <c r="B933" s="17"/>
      <c r="C933" s="18"/>
      <c r="D933" s="11"/>
      <c r="E933" s="11"/>
      <c r="F933" s="11"/>
      <c r="G933" s="11"/>
      <c r="H933" s="12"/>
      <c r="I933" s="13"/>
      <c r="J933" s="13"/>
      <c r="K933" s="13"/>
    </row>
    <row r="934">
      <c r="A934" s="16"/>
      <c r="B934" s="17"/>
      <c r="C934" s="18"/>
      <c r="D934" s="11"/>
      <c r="E934" s="11"/>
      <c r="F934" s="11"/>
      <c r="G934" s="11"/>
      <c r="H934" s="12"/>
      <c r="I934" s="13"/>
      <c r="J934" s="13"/>
      <c r="K934" s="13"/>
    </row>
    <row r="935">
      <c r="A935" s="16"/>
      <c r="B935" s="17"/>
      <c r="C935" s="18"/>
      <c r="D935" s="11"/>
      <c r="E935" s="11"/>
      <c r="F935" s="11"/>
      <c r="G935" s="11"/>
      <c r="H935" s="12"/>
      <c r="I935" s="13"/>
      <c r="J935" s="13"/>
      <c r="K935" s="13"/>
    </row>
    <row r="936">
      <c r="A936" s="16"/>
      <c r="B936" s="17"/>
      <c r="C936" s="18"/>
      <c r="D936" s="11"/>
      <c r="E936" s="11"/>
      <c r="F936" s="11"/>
      <c r="G936" s="11"/>
      <c r="H936" s="12"/>
      <c r="I936" s="13"/>
      <c r="J936" s="13"/>
      <c r="K936" s="13"/>
    </row>
    <row r="937">
      <c r="A937" s="16"/>
      <c r="B937" s="17"/>
      <c r="C937" s="18"/>
      <c r="D937" s="11"/>
      <c r="E937" s="11"/>
      <c r="F937" s="11"/>
      <c r="G937" s="11"/>
      <c r="H937" s="12"/>
      <c r="I937" s="13"/>
      <c r="J937" s="13"/>
      <c r="K937" s="13"/>
    </row>
    <row r="938">
      <c r="A938" s="16"/>
      <c r="B938" s="17"/>
      <c r="C938" s="18"/>
      <c r="D938" s="11"/>
      <c r="E938" s="11"/>
      <c r="F938" s="11"/>
      <c r="G938" s="11"/>
      <c r="H938" s="12"/>
      <c r="I938" s="13"/>
      <c r="J938" s="13"/>
      <c r="K938" s="13"/>
    </row>
    <row r="939">
      <c r="A939" s="16"/>
      <c r="B939" s="17"/>
      <c r="C939" s="18"/>
      <c r="D939" s="11"/>
      <c r="E939" s="11"/>
      <c r="F939" s="11"/>
      <c r="G939" s="11"/>
      <c r="H939" s="12"/>
      <c r="I939" s="13"/>
      <c r="J939" s="13"/>
      <c r="K939" s="13"/>
    </row>
    <row r="940">
      <c r="A940" s="16"/>
      <c r="B940" s="17"/>
      <c r="C940" s="18"/>
      <c r="D940" s="11"/>
      <c r="E940" s="11"/>
      <c r="F940" s="11"/>
      <c r="G940" s="11"/>
      <c r="H940" s="12"/>
      <c r="I940" s="13"/>
      <c r="J940" s="13"/>
      <c r="K940" s="13"/>
    </row>
    <row r="941">
      <c r="A941" s="16"/>
      <c r="B941" s="17"/>
      <c r="C941" s="18"/>
      <c r="D941" s="11"/>
      <c r="E941" s="11"/>
      <c r="F941" s="11"/>
      <c r="G941" s="11"/>
      <c r="H941" s="12"/>
      <c r="I941" s="13"/>
      <c r="J941" s="13"/>
      <c r="K941" s="13"/>
    </row>
    <row r="942">
      <c r="A942" s="16"/>
      <c r="B942" s="17"/>
      <c r="C942" s="18"/>
      <c r="D942" s="11"/>
      <c r="E942" s="11"/>
      <c r="F942" s="11"/>
      <c r="G942" s="11"/>
      <c r="H942" s="12"/>
      <c r="I942" s="13"/>
      <c r="J942" s="13"/>
      <c r="K942" s="13"/>
    </row>
    <row r="943">
      <c r="A943" s="16"/>
      <c r="B943" s="17"/>
      <c r="C943" s="18"/>
      <c r="D943" s="11"/>
      <c r="E943" s="11"/>
      <c r="F943" s="11"/>
      <c r="G943" s="11"/>
      <c r="H943" s="12"/>
      <c r="I943" s="13"/>
      <c r="J943" s="13"/>
      <c r="K943" s="13"/>
    </row>
    <row r="944">
      <c r="A944" s="16"/>
      <c r="B944" s="17"/>
      <c r="C944" s="18"/>
      <c r="D944" s="11"/>
      <c r="E944" s="11"/>
      <c r="F944" s="11"/>
      <c r="G944" s="11"/>
      <c r="H944" s="12"/>
      <c r="I944" s="13"/>
      <c r="J944" s="13"/>
      <c r="K944" s="13"/>
    </row>
    <row r="945">
      <c r="A945" s="16"/>
      <c r="B945" s="17"/>
      <c r="C945" s="18"/>
      <c r="D945" s="11"/>
      <c r="E945" s="11"/>
      <c r="F945" s="11"/>
      <c r="G945" s="11"/>
      <c r="H945" s="12"/>
      <c r="I945" s="13"/>
      <c r="J945" s="13"/>
      <c r="K945" s="13"/>
    </row>
    <row r="946">
      <c r="A946" s="16"/>
      <c r="B946" s="17"/>
      <c r="C946" s="18"/>
      <c r="D946" s="11"/>
      <c r="E946" s="11"/>
      <c r="F946" s="11"/>
      <c r="G946" s="11"/>
      <c r="H946" s="12"/>
      <c r="I946" s="13"/>
      <c r="J946" s="13"/>
      <c r="K946" s="13"/>
    </row>
    <row r="947">
      <c r="A947" s="16"/>
      <c r="B947" s="17"/>
      <c r="C947" s="18"/>
      <c r="D947" s="11"/>
      <c r="E947" s="11"/>
      <c r="F947" s="11"/>
      <c r="G947" s="11"/>
      <c r="H947" s="12"/>
      <c r="I947" s="13"/>
      <c r="J947" s="13"/>
      <c r="K947" s="13"/>
    </row>
    <row r="948">
      <c r="A948" s="16"/>
      <c r="B948" s="17"/>
      <c r="C948" s="18"/>
      <c r="D948" s="11"/>
      <c r="E948" s="11"/>
      <c r="F948" s="11"/>
      <c r="G948" s="11"/>
      <c r="H948" s="12"/>
      <c r="I948" s="13"/>
      <c r="J948" s="13"/>
      <c r="K948" s="13"/>
    </row>
    <row r="949">
      <c r="A949" s="16"/>
      <c r="B949" s="17"/>
      <c r="C949" s="18"/>
      <c r="D949" s="11"/>
      <c r="E949" s="11"/>
      <c r="F949" s="11"/>
      <c r="G949" s="11"/>
      <c r="H949" s="12"/>
      <c r="I949" s="13"/>
      <c r="J949" s="13"/>
      <c r="K949" s="13"/>
    </row>
    <row r="950">
      <c r="A950" s="16"/>
      <c r="B950" s="17"/>
      <c r="C950" s="18"/>
      <c r="D950" s="11"/>
      <c r="E950" s="11"/>
      <c r="F950" s="11"/>
      <c r="G950" s="11"/>
      <c r="H950" s="12"/>
      <c r="I950" s="13"/>
      <c r="J950" s="13"/>
      <c r="K950" s="13"/>
    </row>
    <row r="951">
      <c r="A951" s="16"/>
      <c r="B951" s="17"/>
      <c r="C951" s="18"/>
      <c r="D951" s="11"/>
      <c r="E951" s="11"/>
      <c r="F951" s="11"/>
      <c r="G951" s="11"/>
      <c r="H951" s="12"/>
      <c r="I951" s="13"/>
      <c r="J951" s="13"/>
      <c r="K951" s="13"/>
    </row>
    <row r="952">
      <c r="A952" s="16"/>
      <c r="B952" s="17"/>
      <c r="C952" s="18"/>
      <c r="D952" s="11"/>
      <c r="E952" s="11"/>
      <c r="F952" s="11"/>
      <c r="G952" s="11"/>
      <c r="H952" s="12"/>
      <c r="I952" s="13"/>
      <c r="J952" s="13"/>
      <c r="K952" s="13"/>
    </row>
    <row r="953">
      <c r="A953" s="16"/>
      <c r="B953" s="17"/>
      <c r="C953" s="18"/>
      <c r="D953" s="11"/>
      <c r="E953" s="11"/>
      <c r="F953" s="11"/>
      <c r="G953" s="11"/>
      <c r="H953" s="12"/>
      <c r="I953" s="13"/>
      <c r="J953" s="13"/>
      <c r="K953" s="13"/>
    </row>
    <row r="954">
      <c r="A954" s="16"/>
      <c r="B954" s="17"/>
      <c r="C954" s="18"/>
      <c r="D954" s="11"/>
      <c r="E954" s="11"/>
      <c r="F954" s="11"/>
      <c r="G954" s="11"/>
      <c r="H954" s="12"/>
      <c r="I954" s="13"/>
      <c r="J954" s="13"/>
      <c r="K954" s="13"/>
    </row>
    <row r="955">
      <c r="A955" s="16"/>
      <c r="B955" s="17"/>
      <c r="C955" s="18"/>
      <c r="D955" s="11"/>
      <c r="E955" s="11"/>
      <c r="F955" s="11"/>
      <c r="G955" s="11"/>
      <c r="H955" s="12"/>
      <c r="I955" s="13"/>
      <c r="J955" s="13"/>
      <c r="K955" s="13"/>
    </row>
    <row r="956">
      <c r="A956" s="16"/>
      <c r="B956" s="17"/>
      <c r="C956" s="18"/>
      <c r="D956" s="11"/>
      <c r="E956" s="11"/>
      <c r="F956" s="11"/>
      <c r="G956" s="11"/>
      <c r="H956" s="12"/>
      <c r="I956" s="13"/>
      <c r="J956" s="13"/>
      <c r="K956" s="13"/>
    </row>
    <row r="957">
      <c r="A957" s="16"/>
      <c r="B957" s="17"/>
      <c r="C957" s="18"/>
      <c r="D957" s="11"/>
      <c r="E957" s="11"/>
      <c r="F957" s="11"/>
      <c r="G957" s="11"/>
      <c r="H957" s="12"/>
      <c r="I957" s="13"/>
      <c r="J957" s="13"/>
      <c r="K957" s="13"/>
    </row>
    <row r="958">
      <c r="A958" s="16"/>
      <c r="B958" s="17"/>
      <c r="C958" s="18"/>
      <c r="D958" s="11"/>
      <c r="E958" s="11"/>
      <c r="F958" s="11"/>
      <c r="G958" s="11"/>
      <c r="H958" s="12"/>
      <c r="I958" s="13"/>
      <c r="J958" s="13"/>
      <c r="K958" s="13"/>
    </row>
    <row r="959">
      <c r="A959" s="16"/>
      <c r="B959" s="17"/>
      <c r="C959" s="18"/>
      <c r="D959" s="11"/>
      <c r="E959" s="11"/>
      <c r="F959" s="11"/>
      <c r="G959" s="11"/>
      <c r="H959" s="12"/>
      <c r="I959" s="13"/>
      <c r="J959" s="13"/>
      <c r="K959" s="13"/>
    </row>
    <row r="960">
      <c r="A960" s="16"/>
      <c r="B960" s="17"/>
      <c r="C960" s="18"/>
      <c r="D960" s="11"/>
      <c r="E960" s="11"/>
      <c r="F960" s="11"/>
      <c r="G960" s="11"/>
      <c r="H960" s="12"/>
      <c r="I960" s="13"/>
      <c r="J960" s="13"/>
      <c r="K960" s="13"/>
    </row>
    <row r="961">
      <c r="A961" s="16"/>
      <c r="B961" s="17"/>
      <c r="C961" s="18"/>
      <c r="D961" s="11"/>
      <c r="E961" s="11"/>
      <c r="F961" s="11"/>
      <c r="G961" s="11"/>
      <c r="H961" s="12"/>
      <c r="I961" s="13"/>
      <c r="J961" s="13"/>
      <c r="K961" s="13"/>
    </row>
    <row r="962">
      <c r="A962" s="16"/>
      <c r="B962" s="17"/>
      <c r="C962" s="18"/>
      <c r="D962" s="11"/>
      <c r="E962" s="11"/>
      <c r="F962" s="11"/>
      <c r="G962" s="11"/>
      <c r="H962" s="12"/>
      <c r="I962" s="13"/>
      <c r="J962" s="13"/>
      <c r="K962" s="13"/>
    </row>
    <row r="963">
      <c r="A963" s="16"/>
      <c r="B963" s="17"/>
      <c r="C963" s="18"/>
      <c r="D963" s="11"/>
      <c r="E963" s="11"/>
      <c r="F963" s="11"/>
      <c r="G963" s="11"/>
      <c r="H963" s="12"/>
      <c r="I963" s="13"/>
      <c r="J963" s="13"/>
      <c r="K963" s="13"/>
    </row>
    <row r="964">
      <c r="A964" s="16"/>
      <c r="B964" s="17"/>
      <c r="C964" s="18"/>
      <c r="D964" s="11"/>
      <c r="E964" s="11"/>
      <c r="F964" s="11"/>
      <c r="G964" s="11"/>
      <c r="H964" s="12"/>
      <c r="I964" s="13"/>
      <c r="J964" s="13"/>
      <c r="K964" s="13"/>
    </row>
    <row r="965">
      <c r="A965" s="16"/>
      <c r="B965" s="17"/>
      <c r="C965" s="18"/>
      <c r="D965" s="11"/>
      <c r="E965" s="11"/>
      <c r="F965" s="11"/>
      <c r="G965" s="11"/>
      <c r="H965" s="12"/>
      <c r="I965" s="13"/>
      <c r="J965" s="13"/>
      <c r="K965" s="13"/>
    </row>
    <row r="966">
      <c r="A966" s="16"/>
      <c r="B966" s="17"/>
      <c r="C966" s="18"/>
      <c r="D966" s="11"/>
      <c r="E966" s="11"/>
      <c r="F966" s="11"/>
      <c r="G966" s="11"/>
      <c r="H966" s="12"/>
      <c r="I966" s="13"/>
      <c r="J966" s="13"/>
      <c r="K966" s="13"/>
    </row>
    <row r="967">
      <c r="A967" s="16"/>
      <c r="B967" s="17"/>
      <c r="C967" s="18"/>
      <c r="D967" s="11"/>
      <c r="E967" s="11"/>
      <c r="F967" s="11"/>
      <c r="G967" s="11"/>
      <c r="H967" s="12"/>
      <c r="I967" s="13"/>
      <c r="J967" s="13"/>
      <c r="K967" s="13"/>
    </row>
    <row r="968">
      <c r="A968" s="16"/>
      <c r="B968" s="17"/>
      <c r="C968" s="18"/>
      <c r="D968" s="11"/>
      <c r="E968" s="11"/>
      <c r="F968" s="11"/>
      <c r="G968" s="11"/>
      <c r="H968" s="12"/>
      <c r="I968" s="13"/>
      <c r="J968" s="13"/>
      <c r="K968" s="13"/>
    </row>
    <row r="969">
      <c r="A969" s="16"/>
      <c r="B969" s="17"/>
      <c r="C969" s="18"/>
      <c r="D969" s="11"/>
      <c r="E969" s="11"/>
      <c r="F969" s="11"/>
      <c r="G969" s="11"/>
      <c r="H969" s="12"/>
      <c r="I969" s="13"/>
      <c r="J969" s="13"/>
      <c r="K969" s="13"/>
    </row>
    <row r="970">
      <c r="A970" s="16"/>
      <c r="B970" s="17"/>
      <c r="C970" s="18"/>
      <c r="D970" s="11"/>
      <c r="E970" s="11"/>
      <c r="F970" s="11"/>
      <c r="G970" s="11"/>
      <c r="H970" s="12"/>
      <c r="I970" s="13"/>
      <c r="J970" s="13"/>
      <c r="K970" s="13"/>
    </row>
    <row r="971">
      <c r="A971" s="16"/>
      <c r="B971" s="17"/>
      <c r="C971" s="18"/>
      <c r="D971" s="11"/>
      <c r="E971" s="11"/>
      <c r="F971" s="11"/>
      <c r="G971" s="11"/>
      <c r="H971" s="12"/>
      <c r="I971" s="13"/>
      <c r="J971" s="13"/>
      <c r="K971" s="13"/>
    </row>
    <row r="972">
      <c r="A972" s="16"/>
      <c r="B972" s="17"/>
      <c r="C972" s="18"/>
      <c r="D972" s="11"/>
      <c r="E972" s="11"/>
      <c r="F972" s="11"/>
      <c r="G972" s="11"/>
      <c r="H972" s="12"/>
      <c r="I972" s="13"/>
      <c r="J972" s="13"/>
      <c r="K972" s="13"/>
    </row>
    <row r="973">
      <c r="A973" s="16"/>
      <c r="B973" s="17"/>
      <c r="C973" s="18"/>
      <c r="D973" s="11"/>
      <c r="E973" s="11"/>
      <c r="F973" s="11"/>
      <c r="G973" s="11"/>
      <c r="H973" s="12"/>
      <c r="I973" s="13"/>
      <c r="J973" s="13"/>
      <c r="K973" s="13"/>
    </row>
    <row r="974">
      <c r="A974" s="16"/>
      <c r="B974" s="17"/>
      <c r="C974" s="18"/>
      <c r="D974" s="11"/>
      <c r="E974" s="11"/>
      <c r="F974" s="11"/>
      <c r="G974" s="11"/>
      <c r="H974" s="12"/>
      <c r="I974" s="13"/>
      <c r="J974" s="13"/>
      <c r="K974" s="13"/>
    </row>
    <row r="975">
      <c r="A975" s="16"/>
      <c r="B975" s="17"/>
      <c r="C975" s="18"/>
      <c r="D975" s="11"/>
      <c r="E975" s="11"/>
      <c r="F975" s="11"/>
      <c r="G975" s="11"/>
      <c r="H975" s="12"/>
      <c r="I975" s="13"/>
      <c r="J975" s="13"/>
      <c r="K975" s="13"/>
    </row>
    <row r="976">
      <c r="A976" s="16"/>
      <c r="B976" s="17"/>
      <c r="C976" s="18"/>
      <c r="D976" s="11"/>
      <c r="E976" s="11"/>
      <c r="F976" s="11"/>
      <c r="G976" s="11"/>
      <c r="H976" s="12"/>
      <c r="I976" s="13"/>
      <c r="J976" s="13"/>
      <c r="K976" s="13"/>
    </row>
    <row r="977">
      <c r="A977" s="16"/>
      <c r="B977" s="17"/>
      <c r="C977" s="18"/>
      <c r="D977" s="11"/>
      <c r="E977" s="11"/>
      <c r="F977" s="11"/>
      <c r="G977" s="11"/>
      <c r="H977" s="12"/>
      <c r="I977" s="13"/>
      <c r="J977" s="13"/>
      <c r="K977" s="13"/>
    </row>
    <row r="978">
      <c r="A978" s="16"/>
      <c r="B978" s="17"/>
      <c r="C978" s="18"/>
      <c r="D978" s="11"/>
      <c r="E978" s="11"/>
      <c r="F978" s="11"/>
      <c r="G978" s="11"/>
      <c r="H978" s="12"/>
      <c r="I978" s="13"/>
      <c r="J978" s="13"/>
      <c r="K978" s="13"/>
    </row>
    <row r="979">
      <c r="A979" s="16"/>
      <c r="B979" s="17"/>
      <c r="C979" s="18"/>
      <c r="D979" s="11"/>
      <c r="E979" s="11"/>
      <c r="F979" s="11"/>
      <c r="G979" s="11"/>
      <c r="H979" s="12"/>
      <c r="I979" s="13"/>
      <c r="J979" s="13"/>
      <c r="K979" s="13"/>
    </row>
    <row r="980">
      <c r="A980" s="16"/>
      <c r="B980" s="17"/>
      <c r="C980" s="18"/>
      <c r="D980" s="11"/>
      <c r="E980" s="11"/>
      <c r="F980" s="11"/>
      <c r="G980" s="11"/>
      <c r="H980" s="12"/>
      <c r="I980" s="13"/>
      <c r="J980" s="13"/>
      <c r="K980" s="13"/>
    </row>
    <row r="981">
      <c r="A981" s="16"/>
      <c r="B981" s="17"/>
      <c r="C981" s="18"/>
      <c r="D981" s="11"/>
      <c r="E981" s="11"/>
      <c r="F981" s="11"/>
      <c r="G981" s="11"/>
      <c r="H981" s="12"/>
      <c r="I981" s="13"/>
      <c r="J981" s="13"/>
      <c r="K981" s="13"/>
    </row>
    <row r="982">
      <c r="A982" s="16"/>
      <c r="B982" s="17"/>
      <c r="C982" s="18"/>
      <c r="D982" s="11"/>
      <c r="E982" s="11"/>
      <c r="F982" s="11"/>
      <c r="G982" s="11"/>
      <c r="H982" s="12"/>
      <c r="I982" s="13"/>
      <c r="J982" s="13"/>
      <c r="K982" s="13"/>
    </row>
    <row r="983">
      <c r="A983" s="16"/>
      <c r="B983" s="17"/>
      <c r="C983" s="18"/>
      <c r="D983" s="11"/>
      <c r="E983" s="11"/>
      <c r="F983" s="11"/>
      <c r="G983" s="11"/>
      <c r="H983" s="12"/>
      <c r="I983" s="13"/>
      <c r="J983" s="13"/>
      <c r="K983" s="13"/>
    </row>
    <row r="984">
      <c r="A984" s="16"/>
      <c r="B984" s="17"/>
      <c r="C984" s="18"/>
      <c r="D984" s="11"/>
      <c r="E984" s="11"/>
      <c r="F984" s="11"/>
      <c r="G984" s="11"/>
      <c r="H984" s="12"/>
      <c r="I984" s="13"/>
      <c r="J984" s="13"/>
      <c r="K984" s="13"/>
    </row>
    <row r="985">
      <c r="A985" s="16"/>
      <c r="B985" s="17"/>
      <c r="C985" s="18"/>
      <c r="D985" s="11"/>
      <c r="E985" s="11"/>
      <c r="F985" s="11"/>
      <c r="G985" s="11"/>
      <c r="H985" s="12"/>
      <c r="I985" s="13"/>
      <c r="J985" s="13"/>
      <c r="K985" s="13"/>
    </row>
    <row r="986">
      <c r="A986" s="16"/>
      <c r="B986" s="17"/>
      <c r="C986" s="18"/>
      <c r="D986" s="11"/>
      <c r="E986" s="11"/>
      <c r="F986" s="11"/>
      <c r="G986" s="11"/>
      <c r="H986" s="12"/>
      <c r="I986" s="13"/>
      <c r="J986" s="13"/>
      <c r="K986" s="13"/>
    </row>
    <row r="987">
      <c r="A987" s="16"/>
      <c r="B987" s="17"/>
      <c r="C987" s="18"/>
      <c r="D987" s="11"/>
      <c r="E987" s="11"/>
      <c r="F987" s="11"/>
      <c r="G987" s="11"/>
      <c r="H987" s="12"/>
      <c r="I987" s="13"/>
      <c r="J987" s="13"/>
      <c r="K987" s="13"/>
    </row>
    <row r="988">
      <c r="A988" s="16"/>
      <c r="B988" s="17"/>
      <c r="C988" s="18"/>
      <c r="D988" s="11"/>
      <c r="E988" s="11"/>
      <c r="F988" s="11"/>
      <c r="G988" s="11"/>
      <c r="H988" s="12"/>
      <c r="I988" s="13"/>
      <c r="J988" s="13"/>
      <c r="K988" s="13"/>
    </row>
    <row r="989">
      <c r="A989" s="16"/>
      <c r="B989" s="17"/>
      <c r="C989" s="18"/>
      <c r="D989" s="11"/>
      <c r="E989" s="11"/>
      <c r="F989" s="11"/>
      <c r="G989" s="11"/>
      <c r="H989" s="12"/>
      <c r="I989" s="13"/>
      <c r="J989" s="13"/>
      <c r="K989" s="13"/>
    </row>
    <row r="990">
      <c r="A990" s="16"/>
      <c r="B990" s="17"/>
      <c r="C990" s="18"/>
      <c r="D990" s="11"/>
      <c r="E990" s="11"/>
      <c r="F990" s="11"/>
      <c r="G990" s="11"/>
      <c r="H990" s="12"/>
      <c r="I990" s="13"/>
      <c r="J990" s="13"/>
      <c r="K990" s="13"/>
    </row>
    <row r="991">
      <c r="A991" s="16"/>
      <c r="B991" s="17"/>
      <c r="C991" s="18"/>
      <c r="D991" s="11"/>
      <c r="E991" s="11"/>
      <c r="F991" s="11"/>
      <c r="G991" s="11"/>
      <c r="H991" s="12"/>
      <c r="I991" s="13"/>
      <c r="J991" s="13"/>
      <c r="K991" s="13"/>
    </row>
    <row r="992">
      <c r="A992" s="16"/>
      <c r="B992" s="17"/>
      <c r="C992" s="18"/>
      <c r="D992" s="11"/>
      <c r="E992" s="11"/>
      <c r="F992" s="11"/>
      <c r="G992" s="11"/>
      <c r="H992" s="12"/>
      <c r="I992" s="13"/>
      <c r="J992" s="13"/>
      <c r="K992" s="13"/>
    </row>
    <row r="993">
      <c r="A993" s="16"/>
      <c r="B993" s="17"/>
      <c r="C993" s="18"/>
      <c r="D993" s="11"/>
      <c r="E993" s="11"/>
      <c r="F993" s="11"/>
      <c r="G993" s="11"/>
      <c r="H993" s="12"/>
      <c r="I993" s="13"/>
      <c r="J993" s="13"/>
      <c r="K993" s="13"/>
    </row>
    <row r="994">
      <c r="A994" s="16"/>
      <c r="B994" s="17"/>
      <c r="C994" s="18"/>
      <c r="D994" s="11"/>
      <c r="E994" s="11"/>
      <c r="F994" s="11"/>
      <c r="G994" s="11"/>
      <c r="H994" s="12"/>
      <c r="I994" s="13"/>
      <c r="J994" s="13"/>
      <c r="K994" s="13"/>
    </row>
    <row r="995">
      <c r="A995" s="16"/>
      <c r="B995" s="17"/>
      <c r="C995" s="18"/>
      <c r="D995" s="11"/>
      <c r="E995" s="11"/>
      <c r="F995" s="11"/>
      <c r="G995" s="11"/>
      <c r="H995" s="12"/>
      <c r="I995" s="13"/>
      <c r="J995" s="13"/>
      <c r="K995" s="13"/>
    </row>
    <row r="996">
      <c r="A996" s="16"/>
      <c r="B996" s="17"/>
      <c r="C996" s="18"/>
      <c r="D996" s="11"/>
      <c r="E996" s="11"/>
      <c r="F996" s="11"/>
      <c r="G996" s="11"/>
      <c r="H996" s="12"/>
      <c r="I996" s="13"/>
      <c r="J996" s="13"/>
      <c r="K996" s="13"/>
    </row>
    <row r="997">
      <c r="A997" s="16"/>
      <c r="B997" s="17"/>
      <c r="C997" s="18"/>
      <c r="D997" s="11"/>
      <c r="E997" s="11"/>
      <c r="F997" s="11"/>
      <c r="G997" s="11"/>
      <c r="H997" s="12"/>
      <c r="I997" s="13"/>
      <c r="J997" s="13"/>
      <c r="K997" s="13"/>
    </row>
  </sheetData>
  <autoFilter ref="$A$1:$K$517"/>
  <printOptions gridLines="1" horizontalCentered="1"/>
  <pageMargins bottom="0.75" footer="0.0" header="0.0" left="0.25" right="0.25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D297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5"/>
    <col customWidth="1" min="2" max="2" width="9.13"/>
    <col customWidth="1" min="3" max="3" width="74.25"/>
    <col customWidth="1" min="4" max="5" width="10.88"/>
    <col customWidth="1" min="6" max="6" width="13.75"/>
    <col customWidth="1" min="7" max="7" width="12.25"/>
    <col customWidth="1" min="8" max="8" width="16.38"/>
    <col customWidth="1" min="9" max="9" width="9.5"/>
  </cols>
  <sheetData>
    <row r="1">
      <c r="A1" s="2" t="s">
        <v>0</v>
      </c>
      <c r="B1" s="2" t="s">
        <v>1</v>
      </c>
      <c r="C1" s="3" t="s">
        <v>2</v>
      </c>
      <c r="D1" s="4" t="s">
        <v>823</v>
      </c>
      <c r="E1" s="4" t="s">
        <v>824</v>
      </c>
      <c r="F1" s="5" t="s">
        <v>7</v>
      </c>
      <c r="G1" s="6" t="s">
        <v>8</v>
      </c>
      <c r="H1" s="6" t="s">
        <v>9</v>
      </c>
      <c r="I1" s="6" t="s">
        <v>10</v>
      </c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2">
      <c r="A2" s="8" t="str">
        <f t="array" ref="A2:C997">Roccia!A2:C997</f>
        <v>ARTÍCULOS DE COCINA</v>
      </c>
      <c r="B2" s="9" t="s">
        <v>11</v>
      </c>
      <c r="C2" s="10" t="s">
        <v>12</v>
      </c>
      <c r="D2" s="11">
        <f>IFERROR((VLOOKUP(B2, Roccia!$B$2:$D997, 3, FALSE)*(1+Datos!$E$2)), "Revisar")</f>
        <v>132.372</v>
      </c>
      <c r="E2" s="11">
        <f>IFERROR(D2*Datos!$B$3, "Revisar")</f>
        <v>198.558</v>
      </c>
      <c r="F2" s="12">
        <f>IFERROR(E2*Datos!$B$1, "Revisar")</f>
        <v>114676.3985</v>
      </c>
      <c r="G2" s="13">
        <f>IFERROR((VLOOKUP(B2, Roccia!$B$2:$D997, 3, FALSE) /(1-Datos!$E$1)), "Revisar")</f>
        <v>157.5857143</v>
      </c>
      <c r="H2" s="13">
        <f>IFERROR(G2*Datos!$B$3, "Revisar")</f>
        <v>236.3785714</v>
      </c>
      <c r="I2" s="13">
        <f t="shared" ref="I2:I517" si="1">IFERROR(H2-E2, "Revisar")</f>
        <v>37.82057143</v>
      </c>
    </row>
    <row r="3">
      <c r="A3" s="8" t="s">
        <v>13</v>
      </c>
      <c r="B3" s="9" t="s">
        <v>14</v>
      </c>
      <c r="C3" s="10" t="s">
        <v>15</v>
      </c>
      <c r="D3" s="11">
        <f>IFERROR((VLOOKUP(B3, Roccia!$B$2:$D997, 3, FALSE)*(1+Datos!$E$2)), "Revisar")</f>
        <v>43.368</v>
      </c>
      <c r="E3" s="11">
        <f>IFERROR(D3*Datos!$B$3, "Revisar")</f>
        <v>65.052</v>
      </c>
      <c r="F3" s="12">
        <f>IFERROR(E3*Datos!$B$1, "Revisar")</f>
        <v>37570.5289</v>
      </c>
      <c r="G3" s="13">
        <f>IFERROR((VLOOKUP(B3, Roccia!$B$2:$D997, 3, FALSE) /(1-Datos!$E$1)), "Revisar")</f>
        <v>51.62857143</v>
      </c>
      <c r="H3" s="13">
        <f>IFERROR(G3*Datos!$B$3, "Revisar")</f>
        <v>77.44285714</v>
      </c>
      <c r="I3" s="13">
        <f t="shared" si="1"/>
        <v>12.39085714</v>
      </c>
    </row>
    <row r="4">
      <c r="A4" s="8" t="s">
        <v>13</v>
      </c>
      <c r="B4" s="9" t="s">
        <v>16</v>
      </c>
      <c r="C4" s="10" t="s">
        <v>17</v>
      </c>
      <c r="D4" s="11">
        <f>IFERROR((VLOOKUP(B4, Roccia!$B$2:$D997, 3, FALSE)*(1+Datos!$E$2)), "Revisar")</f>
        <v>25.884</v>
      </c>
      <c r="E4" s="11">
        <f>IFERROR(D4*Datos!$B$3, "Revisar")</f>
        <v>38.826</v>
      </c>
      <c r="F4" s="12">
        <f>IFERROR(E4*Datos!$B$1, "Revisar")</f>
        <v>22423.80488</v>
      </c>
      <c r="G4" s="13">
        <f>IFERROR((VLOOKUP(B4, Roccia!$B$2:$D997, 3, FALSE) /(1-Datos!$E$1)), "Revisar")</f>
        <v>30.81428571</v>
      </c>
      <c r="H4" s="13">
        <f>IFERROR(G4*Datos!$B$3, "Revisar")</f>
        <v>46.22142857</v>
      </c>
      <c r="I4" s="13">
        <f t="shared" si="1"/>
        <v>7.395428571</v>
      </c>
    </row>
    <row r="5">
      <c r="A5" s="8" t="s">
        <v>13</v>
      </c>
      <c r="B5" s="9" t="s">
        <v>18</v>
      </c>
      <c r="C5" s="10" t="s">
        <v>19</v>
      </c>
      <c r="D5" s="11">
        <f>IFERROR((VLOOKUP(B5, Roccia!$B$2:$D997, 3, FALSE)*(1+Datos!$E$2)), "Revisar")</f>
        <v>105.06</v>
      </c>
      <c r="E5" s="11">
        <f>IFERROR(D5*Datos!$B$3, "Revisar")</f>
        <v>157.59</v>
      </c>
      <c r="F5" s="12">
        <f>IFERROR(E5*Datos!$B$1, "Revisar")</f>
        <v>91015.4899</v>
      </c>
      <c r="G5" s="13">
        <f>IFERROR((VLOOKUP(B5, Roccia!$B$2:$D997, 3, FALSE) /(1-Datos!$E$1)), "Revisar")</f>
        <v>125.0714286</v>
      </c>
      <c r="H5" s="13">
        <f>IFERROR(G5*Datos!$B$3, "Revisar")</f>
        <v>187.6071429</v>
      </c>
      <c r="I5" s="13">
        <f t="shared" si="1"/>
        <v>30.01714286</v>
      </c>
    </row>
    <row r="6">
      <c r="A6" s="8" t="s">
        <v>13</v>
      </c>
      <c r="B6" s="9" t="s">
        <v>20</v>
      </c>
      <c r="C6" s="10" t="s">
        <v>21</v>
      </c>
      <c r="D6" s="11">
        <f>IFERROR((VLOOKUP(B6, Roccia!$B$2:$D997, 3, FALSE)*(1+Datos!$E$2)), "Revisar")</f>
        <v>13.188</v>
      </c>
      <c r="E6" s="11">
        <f>IFERROR(D6*Datos!$B$3, "Revisar")</f>
        <v>19.782</v>
      </c>
      <c r="F6" s="12">
        <f>IFERROR(E6*Datos!$B$1, "Revisar")</f>
        <v>11425.01695</v>
      </c>
      <c r="G6" s="13">
        <f>IFERROR((VLOOKUP(B6, Roccia!$B$2:$D997, 3, FALSE) /(1-Datos!$E$1)), "Revisar")</f>
        <v>15.7</v>
      </c>
      <c r="H6" s="13">
        <f>IFERROR(G6*Datos!$B$3, "Revisar")</f>
        <v>23.55</v>
      </c>
      <c r="I6" s="13">
        <f t="shared" si="1"/>
        <v>3.768</v>
      </c>
    </row>
    <row r="7">
      <c r="A7" s="8" t="s">
        <v>13</v>
      </c>
      <c r="B7" s="9" t="s">
        <v>22</v>
      </c>
      <c r="C7" s="10" t="s">
        <v>23</v>
      </c>
      <c r="D7" s="11">
        <f>IFERROR((VLOOKUP(B7, Roccia!$B$2:$D997, 3, FALSE)*(1+Datos!$E$2)), "Revisar")</f>
        <v>13.2</v>
      </c>
      <c r="E7" s="11">
        <f>IFERROR(D7*Datos!$B$3, "Revisar")</f>
        <v>19.8</v>
      </c>
      <c r="F7" s="12">
        <f>IFERROR(E7*Datos!$B$1, "Revisar")</f>
        <v>11435.41278</v>
      </c>
      <c r="G7" s="13">
        <f>IFERROR((VLOOKUP(B7, Roccia!$B$2:$D997, 3, FALSE) /(1-Datos!$E$1)), "Revisar")</f>
        <v>15.71428571</v>
      </c>
      <c r="H7" s="13">
        <f>IFERROR(G7*Datos!$B$3, "Revisar")</f>
        <v>23.57142857</v>
      </c>
      <c r="I7" s="13">
        <f t="shared" si="1"/>
        <v>3.771428571</v>
      </c>
    </row>
    <row r="8">
      <c r="A8" s="8" t="s">
        <v>13</v>
      </c>
      <c r="B8" s="9" t="s">
        <v>24</v>
      </c>
      <c r="C8" s="10" t="s">
        <v>25</v>
      </c>
      <c r="D8" s="11">
        <f>IFERROR((VLOOKUP(B8, Roccia!$B$2:$D997, 3, FALSE)*(1+Datos!$E$2)), "Revisar")</f>
        <v>13.2</v>
      </c>
      <c r="E8" s="11">
        <f>IFERROR(D8*Datos!$B$3, "Revisar")</f>
        <v>19.8</v>
      </c>
      <c r="F8" s="12">
        <f>IFERROR(E8*Datos!$B$1, "Revisar")</f>
        <v>11435.41278</v>
      </c>
      <c r="G8" s="13">
        <f>IFERROR((VLOOKUP(B8, Roccia!$B$2:$D997, 3, FALSE) /(1-Datos!$E$1)), "Revisar")</f>
        <v>15.71428571</v>
      </c>
      <c r="H8" s="13">
        <f>IFERROR(G8*Datos!$B$3, "Revisar")</f>
        <v>23.57142857</v>
      </c>
      <c r="I8" s="13">
        <f t="shared" si="1"/>
        <v>3.771428571</v>
      </c>
    </row>
    <row r="9">
      <c r="A9" s="8" t="s">
        <v>13</v>
      </c>
      <c r="B9" s="9" t="s">
        <v>26</v>
      </c>
      <c r="C9" s="10" t="s">
        <v>27</v>
      </c>
      <c r="D9" s="11">
        <f>IFERROR((VLOOKUP(B9, Roccia!$B$2:$D997, 3, FALSE)*(1+Datos!$E$2)), "Revisar")</f>
        <v>13.2</v>
      </c>
      <c r="E9" s="11">
        <f>IFERROR(D9*Datos!$B$3, "Revisar")</f>
        <v>19.8</v>
      </c>
      <c r="F9" s="12">
        <f>IFERROR(E9*Datos!$B$1, "Revisar")</f>
        <v>11435.41278</v>
      </c>
      <c r="G9" s="13">
        <f>IFERROR((VLOOKUP(B9, Roccia!$B$2:$D997, 3, FALSE) /(1-Datos!$E$1)), "Revisar")</f>
        <v>15.71428571</v>
      </c>
      <c r="H9" s="13">
        <f>IFERROR(G9*Datos!$B$3, "Revisar")</f>
        <v>23.57142857</v>
      </c>
      <c r="I9" s="13">
        <f t="shared" si="1"/>
        <v>3.771428571</v>
      </c>
    </row>
    <row r="10">
      <c r="A10" s="8" t="s">
        <v>13</v>
      </c>
      <c r="B10" s="9" t="s">
        <v>28</v>
      </c>
      <c r="C10" s="10" t="s">
        <v>29</v>
      </c>
      <c r="D10" s="11">
        <f>IFERROR((VLOOKUP(B10, Roccia!$B$2:$D997, 3, FALSE)*(1+Datos!$E$2)), "Revisar")</f>
        <v>13.2</v>
      </c>
      <c r="E10" s="11">
        <f>IFERROR(D10*Datos!$B$3, "Revisar")</f>
        <v>19.8</v>
      </c>
      <c r="F10" s="12">
        <f>IFERROR(E10*Datos!$B$1, "Revisar")</f>
        <v>11435.41278</v>
      </c>
      <c r="G10" s="13">
        <f>IFERROR((VLOOKUP(B10, Roccia!$B$2:$D997, 3, FALSE) /(1-Datos!$E$1)), "Revisar")</f>
        <v>15.71428571</v>
      </c>
      <c r="H10" s="13">
        <f>IFERROR(G10*Datos!$B$3, "Revisar")</f>
        <v>23.57142857</v>
      </c>
      <c r="I10" s="13">
        <f t="shared" si="1"/>
        <v>3.771428571</v>
      </c>
    </row>
    <row r="11">
      <c r="A11" s="8" t="s">
        <v>13</v>
      </c>
      <c r="B11" s="9" t="s">
        <v>30</v>
      </c>
      <c r="C11" s="10" t="s">
        <v>31</v>
      </c>
      <c r="D11" s="11">
        <f>IFERROR((VLOOKUP(B11, Roccia!$B$2:$D997, 3, FALSE)*(1+Datos!$E$2)), "Revisar")</f>
        <v>37.092</v>
      </c>
      <c r="E11" s="11">
        <f>IFERROR(D11*Datos!$B$3, "Revisar")</f>
        <v>55.638</v>
      </c>
      <c r="F11" s="12">
        <f>IFERROR(E11*Datos!$B$1, "Revisar")</f>
        <v>32133.50991</v>
      </c>
      <c r="G11" s="13">
        <f>IFERROR((VLOOKUP(B11, Roccia!$B$2:$D997, 3, FALSE) /(1-Datos!$E$1)), "Revisar")</f>
        <v>44.15714286</v>
      </c>
      <c r="H11" s="13">
        <f>IFERROR(G11*Datos!$B$3, "Revisar")</f>
        <v>66.23571429</v>
      </c>
      <c r="I11" s="13">
        <f t="shared" si="1"/>
        <v>10.59771429</v>
      </c>
    </row>
    <row r="12">
      <c r="A12" s="8" t="s">
        <v>13</v>
      </c>
      <c r="B12" s="9" t="s">
        <v>32</v>
      </c>
      <c r="C12" s="10" t="s">
        <v>33</v>
      </c>
      <c r="D12" s="11">
        <f>IFERROR((VLOOKUP(B12, Roccia!$B$2:$D997, 3, FALSE)*(1+Datos!$E$2)), "Revisar")</f>
        <v>18</v>
      </c>
      <c r="E12" s="11">
        <f>IFERROR(D12*Datos!$B$3, "Revisar")</f>
        <v>27</v>
      </c>
      <c r="F12" s="12">
        <f>IFERROR(E12*Datos!$B$1, "Revisar")</f>
        <v>15593.7447</v>
      </c>
      <c r="G12" s="13">
        <f>IFERROR((VLOOKUP(B12, Roccia!$B$2:$D997, 3, FALSE) /(1-Datos!$E$1)), "Revisar")</f>
        <v>21.42857143</v>
      </c>
      <c r="H12" s="13">
        <f>IFERROR(G12*Datos!$B$3, "Revisar")</f>
        <v>32.14285714</v>
      </c>
      <c r="I12" s="13">
        <f t="shared" si="1"/>
        <v>5.142857143</v>
      </c>
    </row>
    <row r="13">
      <c r="A13" s="8" t="s">
        <v>13</v>
      </c>
      <c r="B13" s="9" t="s">
        <v>34</v>
      </c>
      <c r="C13" s="10" t="s">
        <v>35</v>
      </c>
      <c r="D13" s="11">
        <f>IFERROR((VLOOKUP(B13, Roccia!$B$2:$D997, 3, FALSE)*(1+Datos!$E$2)), "Revisar")</f>
        <v>120.924</v>
      </c>
      <c r="E13" s="11">
        <f>IFERROR(D13*Datos!$B$3, "Revisar")</f>
        <v>181.386</v>
      </c>
      <c r="F13" s="12">
        <f>IFERROR(E13*Datos!$B$1, "Revisar")</f>
        <v>104758.7769</v>
      </c>
      <c r="G13" s="13">
        <f>IFERROR((VLOOKUP(B13, Roccia!$B$2:$D997, 3, FALSE) /(1-Datos!$E$1)), "Revisar")</f>
        <v>143.9571429</v>
      </c>
      <c r="H13" s="13">
        <f>IFERROR(G13*Datos!$B$3, "Revisar")</f>
        <v>215.9357143</v>
      </c>
      <c r="I13" s="13">
        <f t="shared" si="1"/>
        <v>34.54971429</v>
      </c>
    </row>
    <row r="14">
      <c r="A14" s="8" t="s">
        <v>13</v>
      </c>
      <c r="B14" s="9" t="s">
        <v>36</v>
      </c>
      <c r="C14" s="10" t="s">
        <v>37</v>
      </c>
      <c r="D14" s="11">
        <f>IFERROR((VLOOKUP(B14, Roccia!$B$2:$D997, 3, FALSE)*(1+Datos!$E$2)), "Revisar")</f>
        <v>108.684</v>
      </c>
      <c r="E14" s="11">
        <f>IFERROR(D14*Datos!$B$3, "Revisar")</f>
        <v>163.026</v>
      </c>
      <c r="F14" s="12">
        <f>IFERROR(E14*Datos!$B$1, "Revisar")</f>
        <v>94155.0305</v>
      </c>
      <c r="G14" s="13">
        <f>IFERROR((VLOOKUP(B14, Roccia!$B$2:$D997, 3, FALSE) /(1-Datos!$E$1)), "Revisar")</f>
        <v>129.3857143</v>
      </c>
      <c r="H14" s="13">
        <f>IFERROR(G14*Datos!$B$3, "Revisar")</f>
        <v>194.0785714</v>
      </c>
      <c r="I14" s="13">
        <f t="shared" si="1"/>
        <v>31.05257143</v>
      </c>
    </row>
    <row r="15">
      <c r="A15" s="8" t="s">
        <v>13</v>
      </c>
      <c r="B15" s="9" t="s">
        <v>38</v>
      </c>
      <c r="C15" s="10" t="s">
        <v>39</v>
      </c>
      <c r="D15" s="11">
        <f>IFERROR((VLOOKUP(B15, Roccia!$B$2:$D997, 3, FALSE)*(1+Datos!$E$2)), "Revisar")</f>
        <v>109.92</v>
      </c>
      <c r="E15" s="11">
        <f>IFERROR(D15*Datos!$B$3, "Revisar")</f>
        <v>164.88</v>
      </c>
      <c r="F15" s="12">
        <f>IFERROR(E15*Datos!$B$1, "Revisar")</f>
        <v>95225.80097</v>
      </c>
      <c r="G15" s="13">
        <f>IFERROR((VLOOKUP(B15, Roccia!$B$2:$D997, 3, FALSE) /(1-Datos!$E$1)), "Revisar")</f>
        <v>130.8571429</v>
      </c>
      <c r="H15" s="13">
        <f>IFERROR(G15*Datos!$B$3, "Revisar")</f>
        <v>196.2857143</v>
      </c>
      <c r="I15" s="13">
        <f t="shared" si="1"/>
        <v>31.40571429</v>
      </c>
    </row>
    <row r="16">
      <c r="A16" s="8" t="s">
        <v>13</v>
      </c>
      <c r="B16" s="9" t="s">
        <v>40</v>
      </c>
      <c r="C16" s="10" t="s">
        <v>41</v>
      </c>
      <c r="D16" s="11">
        <f>IFERROR((VLOOKUP(B16, Roccia!$B$2:$D997, 3, FALSE)*(1+Datos!$E$2)), "Revisar")</f>
        <v>109.92</v>
      </c>
      <c r="E16" s="11">
        <f>IFERROR(D16*Datos!$B$3, "Revisar")</f>
        <v>164.88</v>
      </c>
      <c r="F16" s="12">
        <f>IFERROR(E16*Datos!$B$1, "Revisar")</f>
        <v>95225.80097</v>
      </c>
      <c r="G16" s="13">
        <f>IFERROR((VLOOKUP(B16, Roccia!$B$2:$D997, 3, FALSE) /(1-Datos!$E$1)), "Revisar")</f>
        <v>130.8571429</v>
      </c>
      <c r="H16" s="13">
        <f>IFERROR(G16*Datos!$B$3, "Revisar")</f>
        <v>196.2857143</v>
      </c>
      <c r="I16" s="13">
        <f t="shared" si="1"/>
        <v>31.40571429</v>
      </c>
    </row>
    <row r="17">
      <c r="A17" s="8" t="s">
        <v>42</v>
      </c>
      <c r="B17" s="9" t="s">
        <v>43</v>
      </c>
      <c r="C17" s="10" t="s">
        <v>44</v>
      </c>
      <c r="D17" s="11">
        <f>IFERROR((VLOOKUP(B17, Roccia!$B$2:$D997, 3, FALSE)*(1+Datos!$E$2)), "Revisar")</f>
        <v>48.612</v>
      </c>
      <c r="E17" s="11">
        <f>IFERROR(D17*Datos!$B$3, "Revisar")</f>
        <v>72.918</v>
      </c>
      <c r="F17" s="12">
        <f>IFERROR(E17*Datos!$B$1, "Revisar")</f>
        <v>42113.50652</v>
      </c>
      <c r="G17" s="13">
        <f>IFERROR((VLOOKUP(B17, Roccia!$B$2:$D997, 3, FALSE) /(1-Datos!$E$1)), "Revisar")</f>
        <v>57.87142857</v>
      </c>
      <c r="H17" s="13">
        <f>IFERROR(G17*Datos!$B$3, "Revisar")</f>
        <v>86.80714286</v>
      </c>
      <c r="I17" s="13">
        <f t="shared" si="1"/>
        <v>13.88914286</v>
      </c>
    </row>
    <row r="18">
      <c r="A18" s="8" t="s">
        <v>42</v>
      </c>
      <c r="B18" s="9" t="s">
        <v>45</v>
      </c>
      <c r="C18" s="10" t="s">
        <v>46</v>
      </c>
      <c r="D18" s="11">
        <f>IFERROR((VLOOKUP(B18, Roccia!$B$2:$D997, 3, FALSE)*(1+Datos!$E$2)), "Revisar")</f>
        <v>52.404</v>
      </c>
      <c r="E18" s="11">
        <f>IFERROR(D18*Datos!$B$3, "Revisar")</f>
        <v>78.606</v>
      </c>
      <c r="F18" s="12">
        <f>IFERROR(E18*Datos!$B$1, "Revisar")</f>
        <v>45398.58874</v>
      </c>
      <c r="G18" s="13">
        <f>IFERROR((VLOOKUP(B18, Roccia!$B$2:$D997, 3, FALSE) /(1-Datos!$E$1)), "Revisar")</f>
        <v>62.38571429</v>
      </c>
      <c r="H18" s="13">
        <f>IFERROR(G18*Datos!$B$3, "Revisar")</f>
        <v>93.57857143</v>
      </c>
      <c r="I18" s="13">
        <f t="shared" si="1"/>
        <v>14.97257143</v>
      </c>
    </row>
    <row r="19">
      <c r="A19" s="8" t="s">
        <v>42</v>
      </c>
      <c r="B19" s="9" t="s">
        <v>47</v>
      </c>
      <c r="C19" s="10" t="s">
        <v>48</v>
      </c>
      <c r="D19" s="11">
        <f>IFERROR((VLOOKUP(B19, Roccia!$B$2:$D997, 3, FALSE)*(1+Datos!$E$2)), "Revisar")</f>
        <v>48.576</v>
      </c>
      <c r="E19" s="11">
        <f>IFERROR(D19*Datos!$B$3, "Revisar")</f>
        <v>72.864</v>
      </c>
      <c r="F19" s="12">
        <f>IFERROR(E19*Datos!$B$1, "Revisar")</f>
        <v>42082.31903</v>
      </c>
      <c r="G19" s="13">
        <f>IFERROR((VLOOKUP(B19, Roccia!$B$2:$D997, 3, FALSE) /(1-Datos!$E$1)), "Revisar")</f>
        <v>57.82857143</v>
      </c>
      <c r="H19" s="13">
        <f>IFERROR(G19*Datos!$B$3, "Revisar")</f>
        <v>86.74285714</v>
      </c>
      <c r="I19" s="13">
        <f t="shared" si="1"/>
        <v>13.87885714</v>
      </c>
    </row>
    <row r="20">
      <c r="A20" s="8" t="s">
        <v>42</v>
      </c>
      <c r="B20" s="9" t="s">
        <v>49</v>
      </c>
      <c r="C20" s="10" t="s">
        <v>50</v>
      </c>
      <c r="D20" s="11">
        <f>IFERROR((VLOOKUP(B20, Roccia!$B$2:$D997, 3, FALSE)*(1+Datos!$E$2)), "Revisar")</f>
        <v>48.612</v>
      </c>
      <c r="E20" s="11">
        <f>IFERROR(D20*Datos!$B$3, "Revisar")</f>
        <v>72.918</v>
      </c>
      <c r="F20" s="12">
        <f>IFERROR(E20*Datos!$B$1, "Revisar")</f>
        <v>42113.50652</v>
      </c>
      <c r="G20" s="13">
        <f>IFERROR((VLOOKUP(B20, Roccia!$B$2:$D997, 3, FALSE) /(1-Datos!$E$1)), "Revisar")</f>
        <v>57.87142857</v>
      </c>
      <c r="H20" s="13">
        <f>IFERROR(G20*Datos!$B$3, "Revisar")</f>
        <v>86.80714286</v>
      </c>
      <c r="I20" s="13">
        <f t="shared" si="1"/>
        <v>13.88914286</v>
      </c>
    </row>
    <row r="21">
      <c r="A21" s="8" t="s">
        <v>42</v>
      </c>
      <c r="B21" s="9" t="s">
        <v>51</v>
      </c>
      <c r="C21" s="10" t="s">
        <v>52</v>
      </c>
      <c r="D21" s="11">
        <f>IFERROR((VLOOKUP(B21, Roccia!$B$2:$D997, 3, FALSE)*(1+Datos!$E$2)), "Revisar")</f>
        <v>70.224</v>
      </c>
      <c r="E21" s="11">
        <f>IFERROR(D21*Datos!$B$3, "Revisar")</f>
        <v>105.336</v>
      </c>
      <c r="F21" s="12">
        <f>IFERROR(E21*Datos!$B$1, "Revisar")</f>
        <v>60836.39599</v>
      </c>
      <c r="G21" s="13">
        <f>IFERROR((VLOOKUP(B21, Roccia!$B$2:$D997, 3, FALSE) /(1-Datos!$E$1)), "Revisar")</f>
        <v>83.6</v>
      </c>
      <c r="H21" s="13">
        <f>IFERROR(G21*Datos!$B$3, "Revisar")</f>
        <v>125.4</v>
      </c>
      <c r="I21" s="13">
        <f t="shared" si="1"/>
        <v>20.064</v>
      </c>
    </row>
    <row r="22">
      <c r="A22" s="8" t="s">
        <v>42</v>
      </c>
      <c r="B22" s="9" t="s">
        <v>53</v>
      </c>
      <c r="C22" s="10" t="s">
        <v>54</v>
      </c>
      <c r="D22" s="11">
        <f>IFERROR((VLOOKUP(B22, Roccia!$B$2:$D997, 3, FALSE)*(1+Datos!$E$2)), "Revisar")</f>
        <v>107.46</v>
      </c>
      <c r="E22" s="11">
        <f>IFERROR(D22*Datos!$B$3, "Revisar")</f>
        <v>161.19</v>
      </c>
      <c r="F22" s="12">
        <f>IFERROR(E22*Datos!$B$1, "Revisar")</f>
        <v>93094.65586</v>
      </c>
      <c r="G22" s="13">
        <f>IFERROR((VLOOKUP(B22, Roccia!$B$2:$D997, 3, FALSE) /(1-Datos!$E$1)), "Revisar")</f>
        <v>127.9285714</v>
      </c>
      <c r="H22" s="13">
        <f>IFERROR(G22*Datos!$B$3, "Revisar")</f>
        <v>191.8928571</v>
      </c>
      <c r="I22" s="13">
        <f t="shared" si="1"/>
        <v>30.70285714</v>
      </c>
    </row>
    <row r="23">
      <c r="A23" s="8" t="s">
        <v>42</v>
      </c>
      <c r="B23" s="9" t="s">
        <v>55</v>
      </c>
      <c r="C23" s="10" t="s">
        <v>56</v>
      </c>
      <c r="D23" s="11">
        <f>IFERROR((VLOOKUP(B23, Roccia!$B$2:$D997, 3, FALSE)*(1+Datos!$E$2)), "Revisar")</f>
        <v>464.16</v>
      </c>
      <c r="E23" s="11">
        <f>IFERROR(D23*Datos!$B$3, "Revisar")</f>
        <v>696.24</v>
      </c>
      <c r="F23" s="12">
        <f>IFERROR(E23*Datos!$B$1, "Revisar")</f>
        <v>402110.6967</v>
      </c>
      <c r="G23" s="13">
        <f>IFERROR((VLOOKUP(B23, Roccia!$B$2:$D997, 3, FALSE) /(1-Datos!$E$1)), "Revisar")</f>
        <v>552.5714286</v>
      </c>
      <c r="H23" s="13">
        <f>IFERROR(G23*Datos!$B$3, "Revisar")</f>
        <v>828.8571429</v>
      </c>
      <c r="I23" s="13">
        <f t="shared" si="1"/>
        <v>132.6171429</v>
      </c>
    </row>
    <row r="24">
      <c r="A24" s="8" t="s">
        <v>42</v>
      </c>
      <c r="B24" s="9" t="s">
        <v>57</v>
      </c>
      <c r="C24" s="10" t="s">
        <v>58</v>
      </c>
      <c r="D24" s="11">
        <f>IFERROR((VLOOKUP(B24, Roccia!$B$2:$D997, 3, FALSE)*(1+Datos!$E$2)), "Revisar")</f>
        <v>525.396</v>
      </c>
      <c r="E24" s="11">
        <f>IFERROR(D24*Datos!$B$3, "Revisar")</f>
        <v>788.094</v>
      </c>
      <c r="F24" s="12">
        <f>IFERROR(E24*Datos!$B$1, "Revisar")</f>
        <v>455160.6161</v>
      </c>
      <c r="G24" s="13">
        <f>IFERROR((VLOOKUP(B24, Roccia!$B$2:$D997, 3, FALSE) /(1-Datos!$E$1)), "Revisar")</f>
        <v>625.4714286</v>
      </c>
      <c r="H24" s="13">
        <f>IFERROR(G24*Datos!$B$3, "Revisar")</f>
        <v>938.2071429</v>
      </c>
      <c r="I24" s="13">
        <f t="shared" si="1"/>
        <v>150.1131429</v>
      </c>
    </row>
    <row r="25">
      <c r="A25" s="8" t="s">
        <v>42</v>
      </c>
      <c r="B25" s="9" t="s">
        <v>59</v>
      </c>
      <c r="C25" s="10" t="s">
        <v>60</v>
      </c>
      <c r="D25" s="11">
        <f>IFERROR((VLOOKUP(B25, Roccia!$B$2:$D997, 3, FALSE)*(1+Datos!$E$2)), "Revisar")</f>
        <v>671.412</v>
      </c>
      <c r="E25" s="11">
        <f>IFERROR(D25*Datos!$B$3, "Revisar")</f>
        <v>1007.118</v>
      </c>
      <c r="F25" s="12">
        <f>IFERROR(E25*Datos!$B$1, "Revisar")</f>
        <v>581657.0731</v>
      </c>
      <c r="G25" s="13">
        <f>IFERROR((VLOOKUP(B25, Roccia!$B$2:$D997, 3, FALSE) /(1-Datos!$E$1)), "Revisar")</f>
        <v>799.3</v>
      </c>
      <c r="H25" s="13">
        <f>IFERROR(G25*Datos!$B$3, "Revisar")</f>
        <v>1198.95</v>
      </c>
      <c r="I25" s="13">
        <f t="shared" si="1"/>
        <v>191.832</v>
      </c>
    </row>
    <row r="26">
      <c r="A26" s="8" t="s">
        <v>42</v>
      </c>
      <c r="B26" s="9" t="s">
        <v>61</v>
      </c>
      <c r="C26" s="10" t="s">
        <v>62</v>
      </c>
      <c r="D26" s="11">
        <f>IFERROR((VLOOKUP(B26, Roccia!$B$2:$D997, 3, FALSE)*(1+Datos!$E$2)), "Revisar")</f>
        <v>815.088</v>
      </c>
      <c r="E26" s="11">
        <f>IFERROR(D26*Datos!$B$3, "Revisar")</f>
        <v>1222.632</v>
      </c>
      <c r="F26" s="12">
        <f>IFERROR(E26*Datos!$B$1, "Revisar")</f>
        <v>706126.3433</v>
      </c>
      <c r="G26" s="13">
        <f>IFERROR((VLOOKUP(B26, Roccia!$B$2:$D997, 3, FALSE) /(1-Datos!$E$1)), "Revisar")</f>
        <v>970.3428571</v>
      </c>
      <c r="H26" s="13">
        <f>IFERROR(G26*Datos!$B$3, "Revisar")</f>
        <v>1455.514286</v>
      </c>
      <c r="I26" s="13">
        <f t="shared" si="1"/>
        <v>232.8822857</v>
      </c>
    </row>
    <row r="27">
      <c r="A27" s="8" t="s">
        <v>63</v>
      </c>
      <c r="B27" s="9" t="s">
        <v>64</v>
      </c>
      <c r="C27" s="10" t="s">
        <v>65</v>
      </c>
      <c r="D27" s="11">
        <f>IFERROR((VLOOKUP(B27, Roccia!$B$2:$D997, 3, FALSE)*(1+Datos!$E$2)), "Revisar")</f>
        <v>31.2</v>
      </c>
      <c r="E27" s="11">
        <f>IFERROR(D27*Datos!$B$3, "Revisar")</f>
        <v>46.8</v>
      </c>
      <c r="F27" s="12">
        <f>IFERROR(E27*Datos!$B$1, "Revisar")</f>
        <v>27029.15748</v>
      </c>
      <c r="G27" s="13">
        <f>IFERROR((VLOOKUP(B27, Roccia!$B$2:$D997, 3, FALSE) /(1-Datos!$E$1)), "Revisar")</f>
        <v>37.14285714</v>
      </c>
      <c r="H27" s="13">
        <f>IFERROR(G27*Datos!$B$3, "Revisar")</f>
        <v>55.71428571</v>
      </c>
      <c r="I27" s="13">
        <f t="shared" si="1"/>
        <v>8.914285714</v>
      </c>
    </row>
    <row r="28">
      <c r="A28" s="8" t="s">
        <v>63</v>
      </c>
      <c r="B28" s="9" t="s">
        <v>66</v>
      </c>
      <c r="C28" s="10" t="s">
        <v>67</v>
      </c>
      <c r="D28" s="11">
        <f>IFERROR((VLOOKUP(B28, Roccia!$B$2:$D997, 3, FALSE)*(1+Datos!$E$2)), "Revisar")</f>
        <v>4.2</v>
      </c>
      <c r="E28" s="11">
        <f>IFERROR(D28*Datos!$B$3, "Revisar")</f>
        <v>6.3</v>
      </c>
      <c r="F28" s="12">
        <f>IFERROR(E28*Datos!$B$1, "Revisar")</f>
        <v>3638.54043</v>
      </c>
      <c r="G28" s="13">
        <f>IFERROR((VLOOKUP(B28, Roccia!$B$2:$D997, 3, FALSE) /(1-Datos!$E$1)), "Revisar")</f>
        <v>5</v>
      </c>
      <c r="H28" s="13">
        <f>IFERROR(G28*Datos!$B$3, "Revisar")</f>
        <v>7.5</v>
      </c>
      <c r="I28" s="13">
        <f t="shared" si="1"/>
        <v>1.2</v>
      </c>
    </row>
    <row r="29">
      <c r="A29" s="8" t="s">
        <v>63</v>
      </c>
      <c r="B29" s="9" t="s">
        <v>68</v>
      </c>
      <c r="C29" s="10" t="s">
        <v>69</v>
      </c>
      <c r="D29" s="11">
        <f>IFERROR((VLOOKUP(B29, Roccia!$B$2:$D997, 3, FALSE)*(1+Datos!$E$2)), "Revisar")</f>
        <v>50.4</v>
      </c>
      <c r="E29" s="11">
        <f>IFERROR(D29*Datos!$B$3, "Revisar")</f>
        <v>75.6</v>
      </c>
      <c r="F29" s="12">
        <f>IFERROR(E29*Datos!$B$1, "Revisar")</f>
        <v>43662.48516</v>
      </c>
      <c r="G29" s="13">
        <f>IFERROR((VLOOKUP(B29, Roccia!$B$2:$D997, 3, FALSE) /(1-Datos!$E$1)), "Revisar")</f>
        <v>60</v>
      </c>
      <c r="H29" s="13">
        <f>IFERROR(G29*Datos!$B$3, "Revisar")</f>
        <v>90</v>
      </c>
      <c r="I29" s="13">
        <f t="shared" si="1"/>
        <v>14.4</v>
      </c>
    </row>
    <row r="30">
      <c r="A30" s="8" t="s">
        <v>63</v>
      </c>
      <c r="B30" s="9" t="s">
        <v>70</v>
      </c>
      <c r="C30" s="10" t="s">
        <v>71</v>
      </c>
      <c r="D30" s="11">
        <f>IFERROR((VLOOKUP(B30, Roccia!$B$2:$D997, 3, FALSE)*(1+Datos!$E$2)), "Revisar")</f>
        <v>72</v>
      </c>
      <c r="E30" s="11">
        <f>IFERROR(D30*Datos!$B$3, "Revisar")</f>
        <v>108</v>
      </c>
      <c r="F30" s="12">
        <f>IFERROR(E30*Datos!$B$1, "Revisar")</f>
        <v>62374.9788</v>
      </c>
      <c r="G30" s="13">
        <f>IFERROR((VLOOKUP(B30, Roccia!$B$2:$D997, 3, FALSE) /(1-Datos!$E$1)), "Revisar")</f>
        <v>85.71428571</v>
      </c>
      <c r="H30" s="13">
        <f>IFERROR(G30*Datos!$B$3, "Revisar")</f>
        <v>128.5714286</v>
      </c>
      <c r="I30" s="13">
        <f t="shared" si="1"/>
        <v>20.57142857</v>
      </c>
    </row>
    <row r="31">
      <c r="A31" s="8" t="s">
        <v>63</v>
      </c>
      <c r="B31" s="9" t="s">
        <v>72</v>
      </c>
      <c r="C31" s="10" t="s">
        <v>73</v>
      </c>
      <c r="D31" s="11">
        <f>IFERROR((VLOOKUP(B31, Roccia!$B$2:$D997, 3, FALSE)*(1+Datos!$E$2)), "Revisar")</f>
        <v>120</v>
      </c>
      <c r="E31" s="11">
        <f>IFERROR(D31*Datos!$B$3, "Revisar")</f>
        <v>180</v>
      </c>
      <c r="F31" s="12">
        <f>IFERROR(E31*Datos!$B$1, "Revisar")</f>
        <v>103958.298</v>
      </c>
      <c r="G31" s="13">
        <f>IFERROR((VLOOKUP(B31, Roccia!$B$2:$D997, 3, FALSE) /(1-Datos!$E$1)), "Revisar")</f>
        <v>142.8571429</v>
      </c>
      <c r="H31" s="13">
        <f>IFERROR(G31*Datos!$B$3, "Revisar")</f>
        <v>214.2857143</v>
      </c>
      <c r="I31" s="13">
        <f t="shared" si="1"/>
        <v>34.28571429</v>
      </c>
    </row>
    <row r="32">
      <c r="A32" s="8" t="s">
        <v>63</v>
      </c>
      <c r="B32" s="9" t="s">
        <v>74</v>
      </c>
      <c r="C32" s="10" t="s">
        <v>75</v>
      </c>
      <c r="D32" s="11">
        <f>IFERROR((VLOOKUP(B32, Roccia!$B$2:$D997, 3, FALSE)*(1+Datos!$E$2)), "Revisar")</f>
        <v>87.78</v>
      </c>
      <c r="E32" s="11">
        <f>IFERROR(D32*Datos!$B$3, "Revisar")</f>
        <v>131.67</v>
      </c>
      <c r="F32" s="12">
        <f>IFERROR(E32*Datos!$B$1, "Revisar")</f>
        <v>76045.49499</v>
      </c>
      <c r="G32" s="13">
        <f>IFERROR((VLOOKUP(B32, Roccia!$B$2:$D997, 3, FALSE) /(1-Datos!$E$1)), "Revisar")</f>
        <v>104.5</v>
      </c>
      <c r="H32" s="13">
        <f>IFERROR(G32*Datos!$B$3, "Revisar")</f>
        <v>156.75</v>
      </c>
      <c r="I32" s="13">
        <f t="shared" si="1"/>
        <v>25.08</v>
      </c>
    </row>
    <row r="33">
      <c r="A33" s="8" t="s">
        <v>63</v>
      </c>
      <c r="B33" s="9" t="s">
        <v>76</v>
      </c>
      <c r="C33" s="10" t="s">
        <v>77</v>
      </c>
      <c r="D33" s="11">
        <f>IFERROR((VLOOKUP(B33, Roccia!$B$2:$D997, 3, FALSE)*(1+Datos!$E$2)), "Revisar")</f>
        <v>448.476</v>
      </c>
      <c r="E33" s="11">
        <f>IFERROR(D33*Datos!$B$3, "Revisar")</f>
        <v>672.714</v>
      </c>
      <c r="F33" s="12">
        <f>IFERROR(E33*Datos!$B$1, "Revisar")</f>
        <v>388523.3471</v>
      </c>
      <c r="G33" s="13">
        <f>IFERROR((VLOOKUP(B33, Roccia!$B$2:$D997, 3, FALSE) /(1-Datos!$E$1)), "Revisar")</f>
        <v>533.9</v>
      </c>
      <c r="H33" s="13">
        <f>IFERROR(G33*Datos!$B$3, "Revisar")</f>
        <v>800.85</v>
      </c>
      <c r="I33" s="13">
        <f t="shared" si="1"/>
        <v>128.136</v>
      </c>
    </row>
    <row r="34">
      <c r="A34" s="8" t="s">
        <v>63</v>
      </c>
      <c r="B34" s="9" t="s">
        <v>78</v>
      </c>
      <c r="C34" s="10" t="s">
        <v>79</v>
      </c>
      <c r="D34" s="11">
        <f>IFERROR((VLOOKUP(B34, Roccia!$B$2:$D997, 3, FALSE)*(1+Datos!$E$2)), "Revisar")</f>
        <v>475.836</v>
      </c>
      <c r="E34" s="11">
        <f>IFERROR(D34*Datos!$B$3, "Revisar")</f>
        <v>713.754</v>
      </c>
      <c r="F34" s="12">
        <f>IFERROR(E34*Datos!$B$1, "Revisar")</f>
        <v>412225.8391</v>
      </c>
      <c r="G34" s="13">
        <f>IFERROR((VLOOKUP(B34, Roccia!$B$2:$D997, 3, FALSE) /(1-Datos!$E$1)), "Revisar")</f>
        <v>566.4714286</v>
      </c>
      <c r="H34" s="13">
        <f>IFERROR(G34*Datos!$B$3, "Revisar")</f>
        <v>849.7071429</v>
      </c>
      <c r="I34" s="13">
        <f t="shared" si="1"/>
        <v>135.9531429</v>
      </c>
    </row>
    <row r="35">
      <c r="A35" s="8" t="s">
        <v>63</v>
      </c>
      <c r="B35" s="9" t="s">
        <v>80</v>
      </c>
      <c r="C35" s="10" t="s">
        <v>81</v>
      </c>
      <c r="D35" s="11">
        <f>IFERROR((VLOOKUP(B35, Roccia!$B$2:$D997, 3, FALSE)*(1+Datos!$E$2)), "Revisar")</f>
        <v>783.624</v>
      </c>
      <c r="E35" s="11">
        <f>IFERROR(D35*Datos!$B$3, "Revisar")</f>
        <v>1175.436</v>
      </c>
      <c r="F35" s="12">
        <f>IFERROR(E35*Datos!$B$1, "Revisar")</f>
        <v>678868.4776</v>
      </c>
      <c r="G35" s="13">
        <f>IFERROR((VLOOKUP(B35, Roccia!$B$2:$D997, 3, FALSE) /(1-Datos!$E$1)), "Revisar")</f>
        <v>932.8857143</v>
      </c>
      <c r="H35" s="13">
        <f>IFERROR(G35*Datos!$B$3, "Revisar")</f>
        <v>1399.328571</v>
      </c>
      <c r="I35" s="13">
        <f t="shared" si="1"/>
        <v>223.8925714</v>
      </c>
    </row>
    <row r="36">
      <c r="A36" s="8" t="s">
        <v>63</v>
      </c>
      <c r="B36" s="9" t="s">
        <v>82</v>
      </c>
      <c r="C36" s="10" t="s">
        <v>83</v>
      </c>
      <c r="D36" s="11">
        <f>IFERROR((VLOOKUP(B36, Roccia!$B$2:$D997, 3, FALSE)*(1+Datos!$E$2)), "Revisar")</f>
        <v>8.4</v>
      </c>
      <c r="E36" s="11">
        <f>IFERROR(D36*Datos!$B$3, "Revisar")</f>
        <v>12.6</v>
      </c>
      <c r="F36" s="12">
        <f>IFERROR(E36*Datos!$B$1, "Revisar")</f>
        <v>7277.08086</v>
      </c>
      <c r="G36" s="13">
        <f>IFERROR((VLOOKUP(B36, Roccia!$B$2:$D997, 3, FALSE) /(1-Datos!$E$1)), "Revisar")</f>
        <v>10</v>
      </c>
      <c r="H36" s="13">
        <f>IFERROR(G36*Datos!$B$3, "Revisar")</f>
        <v>15</v>
      </c>
      <c r="I36" s="13">
        <f t="shared" si="1"/>
        <v>2.4</v>
      </c>
    </row>
    <row r="37">
      <c r="A37" s="8" t="s">
        <v>63</v>
      </c>
      <c r="B37" s="9" t="s">
        <v>84</v>
      </c>
      <c r="C37" s="10" t="s">
        <v>85</v>
      </c>
      <c r="D37" s="11">
        <f>IFERROR((VLOOKUP(B37, Roccia!$B$2:$D997, 3, FALSE)*(1+Datos!$E$2)), "Revisar")</f>
        <v>17.7</v>
      </c>
      <c r="E37" s="11">
        <f>IFERROR(D37*Datos!$B$3, "Revisar")</f>
        <v>26.55</v>
      </c>
      <c r="F37" s="12">
        <f>IFERROR(E37*Datos!$B$1, "Revisar")</f>
        <v>15333.84896</v>
      </c>
      <c r="G37" s="13">
        <f>IFERROR((VLOOKUP(B37, Roccia!$B$2:$D997, 3, FALSE) /(1-Datos!$E$1)), "Revisar")</f>
        <v>21.07142857</v>
      </c>
      <c r="H37" s="13">
        <f>IFERROR(G37*Datos!$B$3, "Revisar")</f>
        <v>31.60714286</v>
      </c>
      <c r="I37" s="13">
        <f t="shared" si="1"/>
        <v>5.057142857</v>
      </c>
    </row>
    <row r="38">
      <c r="A38" s="8" t="s">
        <v>63</v>
      </c>
      <c r="B38" s="9" t="s">
        <v>86</v>
      </c>
      <c r="C38" s="10" t="s">
        <v>87</v>
      </c>
      <c r="D38" s="11">
        <f>IFERROR((VLOOKUP(B38, Roccia!$B$2:$D997, 3, FALSE)*(1+Datos!$E$2)), "Revisar")</f>
        <v>40.968</v>
      </c>
      <c r="E38" s="11">
        <f>IFERROR(D38*Datos!$B$3, "Revisar")</f>
        <v>61.452</v>
      </c>
      <c r="F38" s="12">
        <f>IFERROR(E38*Datos!$B$1, "Revisar")</f>
        <v>35491.36294</v>
      </c>
      <c r="G38" s="13">
        <f>IFERROR((VLOOKUP(B38, Roccia!$B$2:$D997, 3, FALSE) /(1-Datos!$E$1)), "Revisar")</f>
        <v>48.77142857</v>
      </c>
      <c r="H38" s="13">
        <f>IFERROR(G38*Datos!$B$3, "Revisar")</f>
        <v>73.15714286</v>
      </c>
      <c r="I38" s="13">
        <f t="shared" si="1"/>
        <v>11.70514286</v>
      </c>
    </row>
    <row r="39">
      <c r="A39" s="8" t="s">
        <v>63</v>
      </c>
      <c r="B39" s="9" t="s">
        <v>88</v>
      </c>
      <c r="C39" s="10" t="s">
        <v>89</v>
      </c>
      <c r="D39" s="11">
        <f>IFERROR((VLOOKUP(B39, Roccia!$B$2:$D997, 3, FALSE)*(1+Datos!$E$2)), "Revisar")</f>
        <v>72</v>
      </c>
      <c r="E39" s="11">
        <f>IFERROR(D39*Datos!$B$3, "Revisar")</f>
        <v>108</v>
      </c>
      <c r="F39" s="12">
        <f>IFERROR(E39*Datos!$B$1, "Revisar")</f>
        <v>62374.9788</v>
      </c>
      <c r="G39" s="13">
        <f>IFERROR((VLOOKUP(B39, Roccia!$B$2:$D997, 3, FALSE) /(1-Datos!$E$1)), "Revisar")</f>
        <v>85.71428571</v>
      </c>
      <c r="H39" s="13">
        <f>IFERROR(G39*Datos!$B$3, "Revisar")</f>
        <v>128.5714286</v>
      </c>
      <c r="I39" s="13">
        <f t="shared" si="1"/>
        <v>20.57142857</v>
      </c>
    </row>
    <row r="40">
      <c r="A40" s="8" t="s">
        <v>63</v>
      </c>
      <c r="B40" s="9" t="s">
        <v>90</v>
      </c>
      <c r="C40" s="10" t="s">
        <v>91</v>
      </c>
      <c r="D40" s="11">
        <f>IFERROR((VLOOKUP(B40, Roccia!$B$2:$D997, 3, FALSE)*(1+Datos!$E$2)), "Revisar")</f>
        <v>54.216</v>
      </c>
      <c r="E40" s="11">
        <f>IFERROR(D40*Datos!$B$3, "Revisar")</f>
        <v>81.324</v>
      </c>
      <c r="F40" s="12">
        <f>IFERROR(E40*Datos!$B$1, "Revisar")</f>
        <v>46968.35904</v>
      </c>
      <c r="G40" s="13">
        <f>IFERROR((VLOOKUP(B40, Roccia!$B$2:$D997, 3, FALSE) /(1-Datos!$E$1)), "Revisar")</f>
        <v>64.54285714</v>
      </c>
      <c r="H40" s="13">
        <f>IFERROR(G40*Datos!$B$3, "Revisar")</f>
        <v>96.81428571</v>
      </c>
      <c r="I40" s="13">
        <f t="shared" si="1"/>
        <v>15.49028571</v>
      </c>
    </row>
    <row r="41">
      <c r="A41" s="8" t="s">
        <v>63</v>
      </c>
      <c r="B41" s="9" t="s">
        <v>92</v>
      </c>
      <c r="C41" s="10" t="s">
        <v>93</v>
      </c>
      <c r="D41" s="11">
        <f>IFERROR((VLOOKUP(B41, Roccia!$B$2:$D997, 3, FALSE)*(1+Datos!$E$2)), "Revisar")</f>
        <v>83.184</v>
      </c>
      <c r="E41" s="11">
        <f>IFERROR(D41*Datos!$B$3, "Revisar")</f>
        <v>124.776</v>
      </c>
      <c r="F41" s="12">
        <f>IFERROR(E41*Datos!$B$1, "Revisar")</f>
        <v>72063.89217</v>
      </c>
      <c r="G41" s="13">
        <f>IFERROR((VLOOKUP(B41, Roccia!$B$2:$D997, 3, FALSE) /(1-Datos!$E$1)), "Revisar")</f>
        <v>99.02857143</v>
      </c>
      <c r="H41" s="13">
        <f>IFERROR(G41*Datos!$B$3, "Revisar")</f>
        <v>148.5428571</v>
      </c>
      <c r="I41" s="13">
        <f t="shared" si="1"/>
        <v>23.76685714</v>
      </c>
    </row>
    <row r="42">
      <c r="A42" s="8" t="s">
        <v>63</v>
      </c>
      <c r="B42" s="9" t="s">
        <v>94</v>
      </c>
      <c r="C42" s="10" t="s">
        <v>95</v>
      </c>
      <c r="D42" s="11">
        <f>IFERROR((VLOOKUP(B42, Roccia!$B$2:$D997, 3, FALSE)*(1+Datos!$E$2)), "Revisar")</f>
        <v>113.208</v>
      </c>
      <c r="E42" s="11">
        <f>IFERROR(D42*Datos!$B$3, "Revisar")</f>
        <v>169.812</v>
      </c>
      <c r="F42" s="12">
        <f>IFERROR(E42*Datos!$B$1, "Revisar")</f>
        <v>98074.25833</v>
      </c>
      <c r="G42" s="13">
        <f>IFERROR((VLOOKUP(B42, Roccia!$B$2:$D997, 3, FALSE) /(1-Datos!$E$1)), "Revisar")</f>
        <v>134.7714286</v>
      </c>
      <c r="H42" s="13">
        <f>IFERROR(G42*Datos!$B$3, "Revisar")</f>
        <v>202.1571429</v>
      </c>
      <c r="I42" s="13">
        <f t="shared" si="1"/>
        <v>32.34514286</v>
      </c>
    </row>
    <row r="43">
      <c r="A43" s="8" t="s">
        <v>63</v>
      </c>
      <c r="B43" s="9" t="s">
        <v>96</v>
      </c>
      <c r="C43" s="10" t="s">
        <v>97</v>
      </c>
      <c r="D43" s="11">
        <f>IFERROR((VLOOKUP(B43, Roccia!$B$2:$D997, 3, FALSE)*(1+Datos!$E$2)), "Revisar")</f>
        <v>143.22</v>
      </c>
      <c r="E43" s="11">
        <f>IFERROR(D43*Datos!$B$3, "Revisar")</f>
        <v>214.83</v>
      </c>
      <c r="F43" s="12">
        <f>IFERROR(E43*Datos!$B$1, "Revisar")</f>
        <v>124074.2287</v>
      </c>
      <c r="G43" s="13">
        <f>IFERROR((VLOOKUP(B43, Roccia!$B$2:$D997, 3, FALSE) /(1-Datos!$E$1)), "Revisar")</f>
        <v>170.5</v>
      </c>
      <c r="H43" s="13">
        <f>IFERROR(G43*Datos!$B$3, "Revisar")</f>
        <v>255.75</v>
      </c>
      <c r="I43" s="13">
        <f t="shared" si="1"/>
        <v>40.92</v>
      </c>
    </row>
    <row r="44">
      <c r="A44" s="8" t="s">
        <v>63</v>
      </c>
      <c r="B44" s="9" t="s">
        <v>98</v>
      </c>
      <c r="C44" s="10" t="s">
        <v>99</v>
      </c>
      <c r="D44" s="11">
        <f>IFERROR((VLOOKUP(B44, Roccia!$B$2:$D997, 3, FALSE)*(1+Datos!$E$2)), "Revisar")</f>
        <v>108.288</v>
      </c>
      <c r="E44" s="11">
        <f>IFERROR(D44*Datos!$B$3, "Revisar")</f>
        <v>162.432</v>
      </c>
      <c r="F44" s="12">
        <f>IFERROR(E44*Datos!$B$1, "Revisar")</f>
        <v>93811.96812</v>
      </c>
      <c r="G44" s="13">
        <f>IFERROR((VLOOKUP(B44, Roccia!$B$2:$D997, 3, FALSE) /(1-Datos!$E$1)), "Revisar")</f>
        <v>128.9142857</v>
      </c>
      <c r="H44" s="13">
        <f>IFERROR(G44*Datos!$B$3, "Revisar")</f>
        <v>193.3714286</v>
      </c>
      <c r="I44" s="13">
        <f t="shared" si="1"/>
        <v>30.93942857</v>
      </c>
    </row>
    <row r="45">
      <c r="A45" s="8" t="s">
        <v>63</v>
      </c>
      <c r="B45" s="9" t="s">
        <v>100</v>
      </c>
      <c r="C45" s="10" t="s">
        <v>101</v>
      </c>
      <c r="D45" s="11">
        <f>IFERROR((VLOOKUP(B45, Roccia!$B$2:$D997, 3, FALSE)*(1+Datos!$E$2)), "Revisar")</f>
        <v>151.212</v>
      </c>
      <c r="E45" s="11">
        <f>IFERROR(D45*Datos!$B$3, "Revisar")</f>
        <v>226.818</v>
      </c>
      <c r="F45" s="12">
        <f>IFERROR(E45*Datos!$B$1, "Revisar")</f>
        <v>130997.8513</v>
      </c>
      <c r="G45" s="13">
        <f>IFERROR((VLOOKUP(B45, Roccia!$B$2:$D997, 3, FALSE) /(1-Datos!$E$1)), "Revisar")</f>
        <v>180.0142857</v>
      </c>
      <c r="H45" s="13">
        <f>IFERROR(G45*Datos!$B$3, "Revisar")</f>
        <v>270.0214286</v>
      </c>
      <c r="I45" s="13">
        <f t="shared" si="1"/>
        <v>43.20342857</v>
      </c>
    </row>
    <row r="46">
      <c r="A46" s="8" t="s">
        <v>63</v>
      </c>
      <c r="B46" s="9" t="s">
        <v>102</v>
      </c>
      <c r="C46" s="10" t="s">
        <v>103</v>
      </c>
      <c r="D46" s="11">
        <f>IFERROR((VLOOKUP(B46, Roccia!$B$2:$D997, 3, FALSE)*(1+Datos!$E$2)), "Revisar")</f>
        <v>194.028</v>
      </c>
      <c r="E46" s="11">
        <f>IFERROR(D46*Datos!$B$3, "Revisar")</f>
        <v>291.042</v>
      </c>
      <c r="F46" s="12">
        <f>IFERROR(E46*Datos!$B$1, "Revisar")</f>
        <v>168090.172</v>
      </c>
      <c r="G46" s="13">
        <f>IFERROR((VLOOKUP(B46, Roccia!$B$2:$D997, 3, FALSE) /(1-Datos!$E$1)), "Revisar")</f>
        <v>230.9857143</v>
      </c>
      <c r="H46" s="13">
        <f>IFERROR(G46*Datos!$B$3, "Revisar")</f>
        <v>346.4785714</v>
      </c>
      <c r="I46" s="13">
        <f t="shared" si="1"/>
        <v>55.43657143</v>
      </c>
    </row>
    <row r="47">
      <c r="A47" s="8" t="s">
        <v>63</v>
      </c>
      <c r="B47" s="9" t="s">
        <v>104</v>
      </c>
      <c r="C47" s="10" t="s">
        <v>105</v>
      </c>
      <c r="D47" s="11">
        <f>IFERROR((VLOOKUP(B47, Roccia!$B$2:$D997, 3, FALSE)*(1+Datos!$E$2)), "Revisar")</f>
        <v>50.616</v>
      </c>
      <c r="E47" s="11">
        <f>IFERROR(D47*Datos!$B$3, "Revisar")</f>
        <v>75.924</v>
      </c>
      <c r="F47" s="12">
        <f>IFERROR(E47*Datos!$B$1, "Revisar")</f>
        <v>43849.6101</v>
      </c>
      <c r="G47" s="13">
        <f>IFERROR((VLOOKUP(B47, Roccia!$B$2:$D997, 3, FALSE) /(1-Datos!$E$1)), "Revisar")</f>
        <v>60.25714286</v>
      </c>
      <c r="H47" s="13">
        <f>IFERROR(G47*Datos!$B$3, "Revisar")</f>
        <v>90.38571429</v>
      </c>
      <c r="I47" s="13">
        <f t="shared" si="1"/>
        <v>14.46171429</v>
      </c>
    </row>
    <row r="48">
      <c r="A48" s="8" t="s">
        <v>63</v>
      </c>
      <c r="B48" s="9" t="s">
        <v>106</v>
      </c>
      <c r="C48" s="10" t="s">
        <v>107</v>
      </c>
      <c r="D48" s="11">
        <f>IFERROR((VLOOKUP(B48, Roccia!$B$2:$D997, 3, FALSE)*(1+Datos!$E$2)), "Revisar")</f>
        <v>80.616</v>
      </c>
      <c r="E48" s="11">
        <f>IFERROR(D48*Datos!$B$3, "Revisar")</f>
        <v>120.924</v>
      </c>
      <c r="F48" s="12">
        <f>IFERROR(E48*Datos!$B$1, "Revisar")</f>
        <v>69839.1846</v>
      </c>
      <c r="G48" s="13">
        <f>IFERROR((VLOOKUP(B48, Roccia!$B$2:$D997, 3, FALSE) /(1-Datos!$E$1)), "Revisar")</f>
        <v>95.97142857</v>
      </c>
      <c r="H48" s="13">
        <f>IFERROR(G48*Datos!$B$3, "Revisar")</f>
        <v>143.9571429</v>
      </c>
      <c r="I48" s="13">
        <f t="shared" si="1"/>
        <v>23.03314286</v>
      </c>
    </row>
    <row r="49">
      <c r="A49" s="8" t="s">
        <v>63</v>
      </c>
      <c r="B49" s="9" t="s">
        <v>108</v>
      </c>
      <c r="C49" s="10" t="s">
        <v>109</v>
      </c>
      <c r="D49" s="11">
        <f>IFERROR((VLOOKUP(B49, Roccia!$B$2:$D997, 3, FALSE)*(1+Datos!$E$2)), "Revisar")</f>
        <v>579.468</v>
      </c>
      <c r="E49" s="11">
        <f>IFERROR(D49*Datos!$B$3, "Revisar")</f>
        <v>869.202</v>
      </c>
      <c r="F49" s="12">
        <f>IFERROR(E49*Datos!$B$1, "Revisar")</f>
        <v>502004.2252</v>
      </c>
      <c r="G49" s="13">
        <f>IFERROR((VLOOKUP(B49, Roccia!$B$2:$D997, 3, FALSE) /(1-Datos!$E$1)), "Revisar")</f>
        <v>689.8428571</v>
      </c>
      <c r="H49" s="13">
        <f>IFERROR(G49*Datos!$B$3, "Revisar")</f>
        <v>1034.764286</v>
      </c>
      <c r="I49" s="13">
        <f t="shared" si="1"/>
        <v>165.5622857</v>
      </c>
    </row>
    <row r="50">
      <c r="A50" s="8" t="s">
        <v>110</v>
      </c>
      <c r="B50" s="9" t="s">
        <v>111</v>
      </c>
      <c r="C50" s="10" t="s">
        <v>112</v>
      </c>
      <c r="D50" s="11">
        <f>IFERROR((VLOOKUP(B50, Roccia!$B$2:$D997, 3, FALSE)*(1+Datos!$E$2)), "Revisar")</f>
        <v>30.72</v>
      </c>
      <c r="E50" s="11">
        <f>IFERROR(D50*Datos!$B$3, "Revisar")</f>
        <v>46.08</v>
      </c>
      <c r="F50" s="12">
        <f>IFERROR(E50*Datos!$B$1, "Revisar")</f>
        <v>26613.32429</v>
      </c>
      <c r="G50" s="13">
        <f>IFERROR((VLOOKUP(B50, Roccia!$B$2:$D997, 3, FALSE) /(1-Datos!$E$1)), "Revisar")</f>
        <v>36.57142857</v>
      </c>
      <c r="H50" s="13">
        <f>IFERROR(G50*Datos!$B$3, "Revisar")</f>
        <v>54.85714286</v>
      </c>
      <c r="I50" s="13">
        <f t="shared" si="1"/>
        <v>8.777142857</v>
      </c>
    </row>
    <row r="51">
      <c r="A51" s="8" t="s">
        <v>110</v>
      </c>
      <c r="B51" s="9" t="s">
        <v>113</v>
      </c>
      <c r="C51" s="10" t="s">
        <v>114</v>
      </c>
      <c r="D51" s="11">
        <f>IFERROR((VLOOKUP(B51, Roccia!$B$2:$D997, 3, FALSE)*(1+Datos!$E$2)), "Revisar")</f>
        <v>39.54</v>
      </c>
      <c r="E51" s="11">
        <f>IFERROR(D51*Datos!$B$3, "Revisar")</f>
        <v>59.31</v>
      </c>
      <c r="F51" s="12">
        <f>IFERROR(E51*Datos!$B$1, "Revisar")</f>
        <v>34254.25919</v>
      </c>
      <c r="G51" s="13">
        <f>IFERROR((VLOOKUP(B51, Roccia!$B$2:$D997, 3, FALSE) /(1-Datos!$E$1)), "Revisar")</f>
        <v>47.07142857</v>
      </c>
      <c r="H51" s="13">
        <f>IFERROR(G51*Datos!$B$3, "Revisar")</f>
        <v>70.60714286</v>
      </c>
      <c r="I51" s="13">
        <f t="shared" si="1"/>
        <v>11.29714286</v>
      </c>
    </row>
    <row r="52">
      <c r="A52" s="8" t="s">
        <v>110</v>
      </c>
      <c r="B52" s="9" t="s">
        <v>115</v>
      </c>
      <c r="C52" s="10" t="s">
        <v>116</v>
      </c>
      <c r="D52" s="11">
        <f>IFERROR((VLOOKUP(B52, Roccia!$B$2:$D997, 3, FALSE)*(1+Datos!$E$2)), "Revisar")</f>
        <v>57.024</v>
      </c>
      <c r="E52" s="11">
        <f>IFERROR(D52*Datos!$B$3, "Revisar")</f>
        <v>85.536</v>
      </c>
      <c r="F52" s="12">
        <f>IFERROR(E52*Datos!$B$1, "Revisar")</f>
        <v>49400.98321</v>
      </c>
      <c r="G52" s="13">
        <f>IFERROR((VLOOKUP(B52, Roccia!$B$2:$D997, 3, FALSE) /(1-Datos!$E$1)), "Revisar")</f>
        <v>67.88571429</v>
      </c>
      <c r="H52" s="13">
        <f>IFERROR(G52*Datos!$B$3, "Revisar")</f>
        <v>101.8285714</v>
      </c>
      <c r="I52" s="13">
        <f t="shared" si="1"/>
        <v>16.29257143</v>
      </c>
    </row>
    <row r="53">
      <c r="A53" s="8" t="s">
        <v>110</v>
      </c>
      <c r="B53" s="9" t="s">
        <v>117</v>
      </c>
      <c r="C53" s="10" t="s">
        <v>118</v>
      </c>
      <c r="D53" s="11">
        <f>IFERROR((VLOOKUP(B53, Roccia!$B$2:$D997, 3, FALSE)*(1+Datos!$E$2)), "Revisar")</f>
        <v>64.62</v>
      </c>
      <c r="E53" s="11">
        <f>IFERROR(D53*Datos!$B$3, "Revisar")</f>
        <v>96.93</v>
      </c>
      <c r="F53" s="12">
        <f>IFERROR(E53*Datos!$B$1, "Revisar")</f>
        <v>55981.54347</v>
      </c>
      <c r="G53" s="13">
        <f>IFERROR((VLOOKUP(B53, Roccia!$B$2:$D997, 3, FALSE) /(1-Datos!$E$1)), "Revisar")</f>
        <v>76.92857143</v>
      </c>
      <c r="H53" s="13">
        <f>IFERROR(G53*Datos!$B$3, "Revisar")</f>
        <v>115.3928571</v>
      </c>
      <c r="I53" s="13">
        <f t="shared" si="1"/>
        <v>18.46285714</v>
      </c>
    </row>
    <row r="54">
      <c r="A54" s="8" t="s">
        <v>110</v>
      </c>
      <c r="B54" s="9" t="s">
        <v>119</v>
      </c>
      <c r="C54" s="10" t="s">
        <v>120</v>
      </c>
      <c r="D54" s="11">
        <f>IFERROR((VLOOKUP(B54, Roccia!$B$2:$D997, 3, FALSE)*(1+Datos!$E$2)), "Revisar")</f>
        <v>61.728</v>
      </c>
      <c r="E54" s="11">
        <f>IFERROR(D54*Datos!$B$3, "Revisar")</f>
        <v>92.592</v>
      </c>
      <c r="F54" s="12">
        <f>IFERROR(E54*Datos!$B$1, "Revisar")</f>
        <v>53476.14849</v>
      </c>
      <c r="G54" s="13">
        <f>IFERROR((VLOOKUP(B54, Roccia!$B$2:$D997, 3, FALSE) /(1-Datos!$E$1)), "Revisar")</f>
        <v>73.48571429</v>
      </c>
      <c r="H54" s="13">
        <f>IFERROR(G54*Datos!$B$3, "Revisar")</f>
        <v>110.2285714</v>
      </c>
      <c r="I54" s="13">
        <f t="shared" si="1"/>
        <v>17.63657143</v>
      </c>
    </row>
    <row r="55">
      <c r="A55" s="8" t="s">
        <v>110</v>
      </c>
      <c r="B55" s="9" t="s">
        <v>121</v>
      </c>
      <c r="C55" s="10" t="s">
        <v>122</v>
      </c>
      <c r="D55" s="11">
        <f>IFERROR((VLOOKUP(B55, Roccia!$B$2:$D997, 3, FALSE)*(1+Datos!$E$2)), "Revisar")</f>
        <v>71.28</v>
      </c>
      <c r="E55" s="11">
        <f>IFERROR(D55*Datos!$B$3, "Revisar")</f>
        <v>106.92</v>
      </c>
      <c r="F55" s="12">
        <f>IFERROR(E55*Datos!$B$1, "Revisar")</f>
        <v>61751.22901</v>
      </c>
      <c r="G55" s="13">
        <f>IFERROR((VLOOKUP(B55, Roccia!$B$2:$D997, 3, FALSE) /(1-Datos!$E$1)), "Revisar")</f>
        <v>84.85714286</v>
      </c>
      <c r="H55" s="13">
        <f>IFERROR(G55*Datos!$B$3, "Revisar")</f>
        <v>127.2857143</v>
      </c>
      <c r="I55" s="13">
        <f t="shared" si="1"/>
        <v>20.36571429</v>
      </c>
    </row>
    <row r="56">
      <c r="A56" s="8" t="s">
        <v>110</v>
      </c>
      <c r="B56" s="9" t="s">
        <v>123</v>
      </c>
      <c r="C56" s="10" t="s">
        <v>124</v>
      </c>
      <c r="D56" s="11">
        <f>IFERROR((VLOOKUP(B56, Roccia!$B$2:$D997, 3, FALSE)*(1+Datos!$E$2)), "Revisar")</f>
        <v>212.88</v>
      </c>
      <c r="E56" s="11">
        <f>IFERROR(D56*Datos!$B$3, "Revisar")</f>
        <v>319.32</v>
      </c>
      <c r="F56" s="12">
        <f>IFERROR(E56*Datos!$B$1, "Revisar")</f>
        <v>184422.0207</v>
      </c>
      <c r="G56" s="13">
        <f>IFERROR((VLOOKUP(B56, Roccia!$B$2:$D997, 3, FALSE) /(1-Datos!$E$1)), "Revisar")</f>
        <v>253.4285714</v>
      </c>
      <c r="H56" s="13">
        <f>IFERROR(G56*Datos!$B$3, "Revisar")</f>
        <v>380.1428571</v>
      </c>
      <c r="I56" s="13">
        <f t="shared" si="1"/>
        <v>60.82285714</v>
      </c>
    </row>
    <row r="57">
      <c r="A57" s="8" t="s">
        <v>110</v>
      </c>
      <c r="B57" s="9" t="s">
        <v>125</v>
      </c>
      <c r="C57" s="10" t="s">
        <v>126</v>
      </c>
      <c r="D57" s="11">
        <f>IFERROR((VLOOKUP(B57, Roccia!$B$2:$D997, 3, FALSE)*(1+Datos!$E$2)), "Revisar")</f>
        <v>27.12</v>
      </c>
      <c r="E57" s="11">
        <f>IFERROR(D57*Datos!$B$3, "Revisar")</f>
        <v>40.68</v>
      </c>
      <c r="F57" s="12">
        <f>IFERROR(E57*Datos!$B$1, "Revisar")</f>
        <v>23494.57535</v>
      </c>
      <c r="G57" s="13">
        <f>IFERROR((VLOOKUP(B57, Roccia!$B$2:$D997, 3, FALSE) /(1-Datos!$E$1)), "Revisar")</f>
        <v>32.28571429</v>
      </c>
      <c r="H57" s="13">
        <f>IFERROR(G57*Datos!$B$3, "Revisar")</f>
        <v>48.42857143</v>
      </c>
      <c r="I57" s="13">
        <f t="shared" si="1"/>
        <v>7.748571429</v>
      </c>
    </row>
    <row r="58">
      <c r="A58" s="8" t="s">
        <v>110</v>
      </c>
      <c r="B58" s="9" t="s">
        <v>127</v>
      </c>
      <c r="C58" s="10" t="s">
        <v>128</v>
      </c>
      <c r="D58" s="11">
        <f>IFERROR((VLOOKUP(B58, Roccia!$B$2:$D997, 3, FALSE)*(1+Datos!$E$2)), "Revisar")</f>
        <v>341.328</v>
      </c>
      <c r="E58" s="11">
        <f>IFERROR(D58*Datos!$B$3, "Revisar")</f>
        <v>511.992</v>
      </c>
      <c r="F58" s="12">
        <f>IFERROR(E58*Datos!$B$1, "Revisar")</f>
        <v>295698.9828</v>
      </c>
      <c r="G58" s="13">
        <f>IFERROR((VLOOKUP(B58, Roccia!$B$2:$D997, 3, FALSE) /(1-Datos!$E$1)), "Revisar")</f>
        <v>406.3428571</v>
      </c>
      <c r="H58" s="13">
        <f>IFERROR(G58*Datos!$B$3, "Revisar")</f>
        <v>609.5142857</v>
      </c>
      <c r="I58" s="13">
        <f t="shared" si="1"/>
        <v>97.52228571</v>
      </c>
    </row>
    <row r="59">
      <c r="A59" s="8" t="s">
        <v>110</v>
      </c>
      <c r="B59" s="9" t="s">
        <v>129</v>
      </c>
      <c r="C59" s="10" t="s">
        <v>130</v>
      </c>
      <c r="D59" s="11">
        <f>IFERROR((VLOOKUP(B59, Roccia!$B$2:$D997, 3, FALSE)*(1+Datos!$E$2)), "Revisar")</f>
        <v>47.196</v>
      </c>
      <c r="E59" s="11">
        <f>IFERROR(D59*Datos!$B$3, "Revisar")</f>
        <v>70.794</v>
      </c>
      <c r="F59" s="12">
        <f>IFERROR(E59*Datos!$B$1, "Revisar")</f>
        <v>40886.7986</v>
      </c>
      <c r="G59" s="13">
        <f>IFERROR((VLOOKUP(B59, Roccia!$B$2:$D997, 3, FALSE) /(1-Datos!$E$1)), "Revisar")</f>
        <v>56.18571429</v>
      </c>
      <c r="H59" s="13">
        <f>IFERROR(G59*Datos!$B$3, "Revisar")</f>
        <v>84.27857143</v>
      </c>
      <c r="I59" s="13">
        <f t="shared" si="1"/>
        <v>13.48457143</v>
      </c>
    </row>
    <row r="60">
      <c r="A60" s="8" t="s">
        <v>110</v>
      </c>
      <c r="B60" s="9" t="s">
        <v>131</v>
      </c>
      <c r="C60" s="10" t="s">
        <v>132</v>
      </c>
      <c r="D60" s="11">
        <f>IFERROR((VLOOKUP(B60, Roccia!$B$2:$D997, 3, FALSE)*(1+Datos!$E$2)), "Revisar")</f>
        <v>71.004</v>
      </c>
      <c r="E60" s="11">
        <f>IFERROR(D60*Datos!$B$3, "Revisar")</f>
        <v>106.506</v>
      </c>
      <c r="F60" s="12">
        <f>IFERROR(E60*Datos!$B$1, "Revisar")</f>
        <v>61512.12493</v>
      </c>
      <c r="G60" s="13">
        <f>IFERROR((VLOOKUP(B60, Roccia!$B$2:$D997, 3, FALSE) /(1-Datos!$E$1)), "Revisar")</f>
        <v>84.52857143</v>
      </c>
      <c r="H60" s="13">
        <f>IFERROR(G60*Datos!$B$3, "Revisar")</f>
        <v>126.7928571</v>
      </c>
      <c r="I60" s="13">
        <f t="shared" si="1"/>
        <v>20.28685714</v>
      </c>
    </row>
    <row r="61">
      <c r="A61" s="8" t="s">
        <v>133</v>
      </c>
      <c r="B61" s="9" t="s">
        <v>134</v>
      </c>
      <c r="C61" s="10" t="s">
        <v>135</v>
      </c>
      <c r="D61" s="11">
        <f>IFERROR((VLOOKUP(B61, Roccia!$B$2:$D997, 3, FALSE)*(1+Datos!$E$2)), "Revisar")</f>
        <v>102.948</v>
      </c>
      <c r="E61" s="11">
        <f>IFERROR(D61*Datos!$B$3, "Revisar")</f>
        <v>154.422</v>
      </c>
      <c r="F61" s="12">
        <f>IFERROR(E61*Datos!$B$1, "Revisar")</f>
        <v>89185.82385</v>
      </c>
      <c r="G61" s="13">
        <f>IFERROR((VLOOKUP(B61, Roccia!$B$2:$D997, 3, FALSE) /(1-Datos!$E$1)), "Revisar")</f>
        <v>122.5571429</v>
      </c>
      <c r="H61" s="13">
        <f>IFERROR(G61*Datos!$B$3, "Revisar")</f>
        <v>183.8357143</v>
      </c>
      <c r="I61" s="13">
        <f t="shared" si="1"/>
        <v>29.41371429</v>
      </c>
    </row>
    <row r="62">
      <c r="A62" s="8" t="s">
        <v>133</v>
      </c>
      <c r="B62" s="9" t="s">
        <v>136</v>
      </c>
      <c r="C62" s="10" t="s">
        <v>137</v>
      </c>
      <c r="D62" s="11">
        <f>IFERROR((VLOOKUP(B62, Roccia!$B$2:$D997, 3, FALSE)*(1+Datos!$E$2)), "Revisar")</f>
        <v>166.872</v>
      </c>
      <c r="E62" s="11">
        <f>IFERROR(D62*Datos!$B$3, "Revisar")</f>
        <v>250.308</v>
      </c>
      <c r="F62" s="12">
        <f>IFERROR(E62*Datos!$B$1, "Revisar")</f>
        <v>144564.4092</v>
      </c>
      <c r="G62" s="13">
        <f>IFERROR((VLOOKUP(B62, Roccia!$B$2:$D997, 3, FALSE) /(1-Datos!$E$1)), "Revisar")</f>
        <v>198.6571429</v>
      </c>
      <c r="H62" s="13">
        <f>IFERROR(G62*Datos!$B$3, "Revisar")</f>
        <v>297.9857143</v>
      </c>
      <c r="I62" s="13">
        <f t="shared" si="1"/>
        <v>47.67771429</v>
      </c>
    </row>
    <row r="63">
      <c r="A63" s="8" t="s">
        <v>133</v>
      </c>
      <c r="B63" s="9" t="s">
        <v>138</v>
      </c>
      <c r="C63" s="10" t="s">
        <v>139</v>
      </c>
      <c r="D63" s="11">
        <f>IFERROR((VLOOKUP(B63, Roccia!$B$2:$D997, 3, FALSE)*(1+Datos!$E$2)), "Revisar")</f>
        <v>173.556</v>
      </c>
      <c r="E63" s="11">
        <f>IFERROR(D63*Datos!$B$3, "Revisar")</f>
        <v>260.334</v>
      </c>
      <c r="F63" s="12">
        <f>IFERROR(E63*Datos!$B$1, "Revisar")</f>
        <v>150354.8864</v>
      </c>
      <c r="G63" s="13">
        <f>IFERROR((VLOOKUP(B63, Roccia!$B$2:$D997, 3, FALSE) /(1-Datos!$E$1)), "Revisar")</f>
        <v>206.6142857</v>
      </c>
      <c r="H63" s="13">
        <f>IFERROR(G63*Datos!$B$3, "Revisar")</f>
        <v>309.9214286</v>
      </c>
      <c r="I63" s="13">
        <f t="shared" si="1"/>
        <v>49.58742857</v>
      </c>
    </row>
    <row r="64">
      <c r="A64" s="8" t="s">
        <v>133</v>
      </c>
      <c r="B64" s="9" t="s">
        <v>140</v>
      </c>
      <c r="C64" s="10" t="s">
        <v>141</v>
      </c>
      <c r="D64" s="11">
        <f>IFERROR((VLOOKUP(B64, Roccia!$B$2:$D997, 3, FALSE)*(1+Datos!$E$2)), "Revisar")</f>
        <v>180.396</v>
      </c>
      <c r="E64" s="11">
        <f>IFERROR(D64*Datos!$B$3, "Revisar")</f>
        <v>270.594</v>
      </c>
      <c r="F64" s="12">
        <f>IFERROR(E64*Datos!$B$1, "Revisar")</f>
        <v>156280.5094</v>
      </c>
      <c r="G64" s="13">
        <f>IFERROR((VLOOKUP(B64, Roccia!$B$2:$D997, 3, FALSE) /(1-Datos!$E$1)), "Revisar")</f>
        <v>214.7571429</v>
      </c>
      <c r="H64" s="13">
        <f>IFERROR(G64*Datos!$B$3, "Revisar")</f>
        <v>322.1357143</v>
      </c>
      <c r="I64" s="13">
        <f t="shared" si="1"/>
        <v>51.54171429</v>
      </c>
    </row>
    <row r="65">
      <c r="A65" s="8" t="s">
        <v>133</v>
      </c>
      <c r="B65" s="9" t="s">
        <v>142</v>
      </c>
      <c r="C65" s="10" t="s">
        <v>143</v>
      </c>
      <c r="D65" s="11">
        <f>IFERROR((VLOOKUP(B65, Roccia!$B$2:$D997, 3, FALSE)*(1+Datos!$E$2)), "Revisar")</f>
        <v>588.072</v>
      </c>
      <c r="E65" s="11">
        <f>IFERROR(D65*Datos!$B$3, "Revisar")</f>
        <v>882.108</v>
      </c>
      <c r="F65" s="12">
        <f>IFERROR(E65*Datos!$B$1, "Revisar")</f>
        <v>509458.0352</v>
      </c>
      <c r="G65" s="13">
        <f>IFERROR((VLOOKUP(B65, Roccia!$B$2:$D997, 3, FALSE) /(1-Datos!$E$1)), "Revisar")</f>
        <v>700.0857143</v>
      </c>
      <c r="H65" s="13">
        <f>IFERROR(G65*Datos!$B$3, "Revisar")</f>
        <v>1050.128571</v>
      </c>
      <c r="I65" s="13">
        <f t="shared" si="1"/>
        <v>168.0205714</v>
      </c>
    </row>
    <row r="66">
      <c r="A66" s="8" t="s">
        <v>133</v>
      </c>
      <c r="B66" s="9" t="s">
        <v>144</v>
      </c>
      <c r="C66" s="10" t="s">
        <v>145</v>
      </c>
      <c r="D66" s="11">
        <f>IFERROR((VLOOKUP(B66, Roccia!$B$2:$D997, 3, FALSE)*(1+Datos!$E$2)), "Revisar")</f>
        <v>746.16</v>
      </c>
      <c r="E66" s="11">
        <f>IFERROR(D66*Datos!$B$3, "Revisar")</f>
        <v>1119.24</v>
      </c>
      <c r="F66" s="12">
        <f>IFERROR(E66*Datos!$B$1, "Revisar")</f>
        <v>646412.697</v>
      </c>
      <c r="G66" s="13">
        <f>IFERROR((VLOOKUP(B66, Roccia!$B$2:$D997, 3, FALSE) /(1-Datos!$E$1)), "Revisar")</f>
        <v>888.2857143</v>
      </c>
      <c r="H66" s="13">
        <f>IFERROR(G66*Datos!$B$3, "Revisar")</f>
        <v>1332.428571</v>
      </c>
      <c r="I66" s="13">
        <f t="shared" si="1"/>
        <v>213.1885714</v>
      </c>
    </row>
    <row r="67">
      <c r="A67" s="8" t="s">
        <v>133</v>
      </c>
      <c r="B67" s="9" t="s">
        <v>146</v>
      </c>
      <c r="C67" s="10" t="s">
        <v>147</v>
      </c>
      <c r="D67" s="11">
        <f>IFERROR((VLOOKUP(B67, Roccia!$B$2:$D997, 3, FALSE)*(1+Datos!$E$2)), "Revisar")</f>
        <v>782.376</v>
      </c>
      <c r="E67" s="11">
        <f>IFERROR(D67*Datos!$B$3, "Revisar")</f>
        <v>1173.564</v>
      </c>
      <c r="F67" s="12">
        <f>IFERROR(E67*Datos!$B$1, "Revisar")</f>
        <v>677787.3113</v>
      </c>
      <c r="G67" s="13">
        <f>IFERROR((VLOOKUP(B67, Roccia!$B$2:$D997, 3, FALSE) /(1-Datos!$E$1)), "Revisar")</f>
        <v>931.4</v>
      </c>
      <c r="H67" s="13">
        <f>IFERROR(G67*Datos!$B$3, "Revisar")</f>
        <v>1397.1</v>
      </c>
      <c r="I67" s="13">
        <f t="shared" si="1"/>
        <v>223.536</v>
      </c>
    </row>
    <row r="68">
      <c r="A68" s="8" t="s">
        <v>133</v>
      </c>
      <c r="B68" s="9" t="s">
        <v>148</v>
      </c>
      <c r="C68" s="10" t="s">
        <v>149</v>
      </c>
      <c r="D68" s="11">
        <f>IFERROR((VLOOKUP(B68, Roccia!$B$2:$D997, 3, FALSE)*(1+Datos!$E$2)), "Revisar")</f>
        <v>1525.896</v>
      </c>
      <c r="E68" s="11">
        <f>IFERROR(D68*Datos!$B$3, "Revisar")</f>
        <v>2288.844</v>
      </c>
      <c r="F68" s="12">
        <f>IFERROR(E68*Datos!$B$1, "Revisar")</f>
        <v>1321912.926</v>
      </c>
      <c r="G68" s="13">
        <f>IFERROR((VLOOKUP(B68, Roccia!$B$2:$D997, 3, FALSE) /(1-Datos!$E$1)), "Revisar")</f>
        <v>1816.542857</v>
      </c>
      <c r="H68" s="13">
        <f>IFERROR(G68*Datos!$B$3, "Revisar")</f>
        <v>2724.814286</v>
      </c>
      <c r="I68" s="13">
        <f t="shared" si="1"/>
        <v>435.9702857</v>
      </c>
    </row>
    <row r="69">
      <c r="A69" s="8" t="s">
        <v>133</v>
      </c>
      <c r="B69" s="9" t="s">
        <v>150</v>
      </c>
      <c r="C69" s="10" t="s">
        <v>151</v>
      </c>
      <c r="D69" s="11">
        <f>IFERROR((VLOOKUP(B69, Roccia!$B$2:$D997, 3, FALSE)*(1+Datos!$E$2)), "Revisar")</f>
        <v>929.916</v>
      </c>
      <c r="E69" s="11">
        <f>IFERROR(D69*Datos!$B$3, "Revisar")</f>
        <v>1394.874</v>
      </c>
      <c r="F69" s="12">
        <f>IFERROR(E69*Datos!$B$1, "Revisar")</f>
        <v>805604.0387</v>
      </c>
      <c r="G69" s="13">
        <f>IFERROR((VLOOKUP(B69, Roccia!$B$2:$D997, 3, FALSE) /(1-Datos!$E$1)), "Revisar")</f>
        <v>1107.042857</v>
      </c>
      <c r="H69" s="13">
        <f>IFERROR(G69*Datos!$B$3, "Revisar")</f>
        <v>1660.564286</v>
      </c>
      <c r="I69" s="13">
        <f t="shared" si="1"/>
        <v>265.6902857</v>
      </c>
    </row>
    <row r="70">
      <c r="A70" s="8" t="s">
        <v>133</v>
      </c>
      <c r="B70" s="9" t="s">
        <v>152</v>
      </c>
      <c r="C70" s="10" t="s">
        <v>153</v>
      </c>
      <c r="D70" s="11">
        <f>IFERROR((VLOOKUP(B70, Roccia!$B$2:$D997, 3, FALSE)*(1+Datos!$E$2)), "Revisar")</f>
        <v>975.972</v>
      </c>
      <c r="E70" s="11">
        <f>IFERROR(D70*Datos!$B$3, "Revisar")</f>
        <v>1463.958</v>
      </c>
      <c r="F70" s="12">
        <f>IFERROR(E70*Datos!$B$1, "Revisar")</f>
        <v>845503.2335</v>
      </c>
      <c r="G70" s="13">
        <f>IFERROR((VLOOKUP(B70, Roccia!$B$2:$D997, 3, FALSE) /(1-Datos!$E$1)), "Revisar")</f>
        <v>1161.871429</v>
      </c>
      <c r="H70" s="13">
        <f>IFERROR(G70*Datos!$B$3, "Revisar")</f>
        <v>1742.807143</v>
      </c>
      <c r="I70" s="13">
        <f t="shared" si="1"/>
        <v>278.8491429</v>
      </c>
    </row>
    <row r="71">
      <c r="A71" s="8" t="s">
        <v>133</v>
      </c>
      <c r="B71" s="9" t="s">
        <v>154</v>
      </c>
      <c r="C71" s="10" t="s">
        <v>155</v>
      </c>
      <c r="D71" s="11">
        <f>IFERROR((VLOOKUP(B71, Roccia!$B$2:$D997, 3, FALSE)*(1+Datos!$E$2)), "Revisar")</f>
        <v>116.388</v>
      </c>
      <c r="E71" s="11">
        <f>IFERROR(D71*Datos!$B$3, "Revisar")</f>
        <v>174.582</v>
      </c>
      <c r="F71" s="12">
        <f>IFERROR(E71*Datos!$B$1, "Revisar")</f>
        <v>100829.1532</v>
      </c>
      <c r="G71" s="13">
        <f>IFERROR((VLOOKUP(B71, Roccia!$B$2:$D997, 3, FALSE) /(1-Datos!$E$1)), "Revisar")</f>
        <v>138.5571429</v>
      </c>
      <c r="H71" s="13">
        <f>IFERROR(G71*Datos!$B$3, "Revisar")</f>
        <v>207.8357143</v>
      </c>
      <c r="I71" s="13">
        <f t="shared" si="1"/>
        <v>33.25371429</v>
      </c>
    </row>
    <row r="72">
      <c r="A72" s="8" t="s">
        <v>133</v>
      </c>
      <c r="B72" s="9" t="s">
        <v>156</v>
      </c>
      <c r="C72" s="10" t="s">
        <v>157</v>
      </c>
      <c r="D72" s="11">
        <f>IFERROR((VLOOKUP(B72, Roccia!$B$2:$D997, 3, FALSE)*(1+Datos!$E$2)), "Revisar")</f>
        <v>156.624</v>
      </c>
      <c r="E72" s="11">
        <f>IFERROR(D72*Datos!$B$3, "Revisar")</f>
        <v>234.936</v>
      </c>
      <c r="F72" s="12">
        <f>IFERROR(E72*Datos!$B$1, "Revisar")</f>
        <v>135686.3705</v>
      </c>
      <c r="G72" s="13">
        <f>IFERROR((VLOOKUP(B72, Roccia!$B$2:$D997, 3, FALSE) /(1-Datos!$E$1)), "Revisar")</f>
        <v>186.4571429</v>
      </c>
      <c r="H72" s="13">
        <f>IFERROR(G72*Datos!$B$3, "Revisar")</f>
        <v>279.6857143</v>
      </c>
      <c r="I72" s="13">
        <f t="shared" si="1"/>
        <v>44.74971429</v>
      </c>
    </row>
    <row r="73">
      <c r="A73" s="8" t="s">
        <v>133</v>
      </c>
      <c r="B73" s="9" t="s">
        <v>158</v>
      </c>
      <c r="C73" s="10" t="s">
        <v>159</v>
      </c>
      <c r="D73" s="11">
        <f>IFERROR((VLOOKUP(B73, Roccia!$B$2:$D997, 3, FALSE)*(1+Datos!$E$2)), "Revisar")</f>
        <v>201.732</v>
      </c>
      <c r="E73" s="11">
        <f>IFERROR(D73*Datos!$B$3, "Revisar")</f>
        <v>302.598</v>
      </c>
      <c r="F73" s="12">
        <f>IFERROR(E73*Datos!$B$1, "Revisar")</f>
        <v>174764.2948</v>
      </c>
      <c r="G73" s="13">
        <f>IFERROR((VLOOKUP(B73, Roccia!$B$2:$D997, 3, FALSE) /(1-Datos!$E$1)), "Revisar")</f>
        <v>240.1571429</v>
      </c>
      <c r="H73" s="13">
        <f>IFERROR(G73*Datos!$B$3, "Revisar")</f>
        <v>360.2357143</v>
      </c>
      <c r="I73" s="13">
        <f t="shared" si="1"/>
        <v>57.63771429</v>
      </c>
    </row>
    <row r="74">
      <c r="A74" s="8" t="s">
        <v>133</v>
      </c>
      <c r="B74" s="9" t="s">
        <v>160</v>
      </c>
      <c r="C74" s="10" t="s">
        <v>161</v>
      </c>
      <c r="D74" s="11">
        <f>IFERROR((VLOOKUP(B74, Roccia!$B$2:$D997, 3, FALSE)*(1+Datos!$E$2)), "Revisar")</f>
        <v>261.6</v>
      </c>
      <c r="E74" s="11">
        <f>IFERROR(D74*Datos!$B$3, "Revisar")</f>
        <v>392.4</v>
      </c>
      <c r="F74" s="12">
        <f>IFERROR(E74*Datos!$B$1, "Revisar")</f>
        <v>226629.0896</v>
      </c>
      <c r="G74" s="13">
        <f>IFERROR((VLOOKUP(B74, Roccia!$B$2:$D997, 3, FALSE) /(1-Datos!$E$1)), "Revisar")</f>
        <v>311.4285714</v>
      </c>
      <c r="H74" s="13">
        <f>IFERROR(G74*Datos!$B$3, "Revisar")</f>
        <v>467.1428571</v>
      </c>
      <c r="I74" s="13">
        <f t="shared" si="1"/>
        <v>74.74285714</v>
      </c>
    </row>
    <row r="75">
      <c r="A75" s="8" t="s">
        <v>133</v>
      </c>
      <c r="B75" s="9" t="s">
        <v>162</v>
      </c>
      <c r="C75" s="10" t="s">
        <v>163</v>
      </c>
      <c r="D75" s="11">
        <f>IFERROR((VLOOKUP(B75, Roccia!$B$2:$D997, 3, FALSE)*(1+Datos!$E$2)), "Revisar")</f>
        <v>129.672</v>
      </c>
      <c r="E75" s="11">
        <f>IFERROR(D75*Datos!$B$3, "Revisar")</f>
        <v>194.508</v>
      </c>
      <c r="F75" s="12">
        <f>IFERROR(E75*Datos!$B$1, "Revisar")</f>
        <v>112337.3368</v>
      </c>
      <c r="G75" s="13">
        <f>IFERROR((VLOOKUP(B75, Roccia!$B$2:$D997, 3, FALSE) /(1-Datos!$E$1)), "Revisar")</f>
        <v>154.3714286</v>
      </c>
      <c r="H75" s="13">
        <f>IFERROR(G75*Datos!$B$3, "Revisar")</f>
        <v>231.5571429</v>
      </c>
      <c r="I75" s="13">
        <f t="shared" si="1"/>
        <v>37.04914286</v>
      </c>
    </row>
    <row r="76">
      <c r="A76" s="8" t="s">
        <v>133</v>
      </c>
      <c r="B76" s="9" t="s">
        <v>164</v>
      </c>
      <c r="C76" s="10" t="s">
        <v>165</v>
      </c>
      <c r="D76" s="11">
        <f>IFERROR((VLOOKUP(B76, Roccia!$B$2:$D997, 3, FALSE)*(1+Datos!$E$2)), "Revisar")</f>
        <v>225.276</v>
      </c>
      <c r="E76" s="11">
        <f>IFERROR(D76*Datos!$B$3, "Revisar")</f>
        <v>337.914</v>
      </c>
      <c r="F76" s="12">
        <f>IFERROR(E76*Datos!$B$1, "Revisar")</f>
        <v>195160.9128</v>
      </c>
      <c r="G76" s="13">
        <f>IFERROR((VLOOKUP(B76, Roccia!$B$2:$D997, 3, FALSE) /(1-Datos!$E$1)), "Revisar")</f>
        <v>268.1857143</v>
      </c>
      <c r="H76" s="13">
        <f>IFERROR(G76*Datos!$B$3, "Revisar")</f>
        <v>402.2785714</v>
      </c>
      <c r="I76" s="13">
        <f t="shared" si="1"/>
        <v>64.36457143</v>
      </c>
    </row>
    <row r="77">
      <c r="A77" s="8" t="s">
        <v>133</v>
      </c>
      <c r="B77" s="9" t="s">
        <v>166</v>
      </c>
      <c r="C77" s="10" t="s">
        <v>167</v>
      </c>
      <c r="D77" s="11">
        <f>IFERROR((VLOOKUP(B77, Roccia!$B$2:$D997, 3, FALSE)*(1+Datos!$E$2)), "Revisar")</f>
        <v>250.788</v>
      </c>
      <c r="E77" s="11">
        <f>IFERROR(D77*Datos!$B$3, "Revisar")</f>
        <v>376.182</v>
      </c>
      <c r="F77" s="12">
        <f>IFERROR(E77*Datos!$B$1, "Revisar")</f>
        <v>217262.447</v>
      </c>
      <c r="G77" s="13">
        <f>IFERROR((VLOOKUP(B77, Roccia!$B$2:$D997, 3, FALSE) /(1-Datos!$E$1)), "Revisar")</f>
        <v>298.5571429</v>
      </c>
      <c r="H77" s="13">
        <f>IFERROR(G77*Datos!$B$3, "Revisar")</f>
        <v>447.8357143</v>
      </c>
      <c r="I77" s="13">
        <f t="shared" si="1"/>
        <v>71.65371429</v>
      </c>
    </row>
    <row r="78">
      <c r="A78" s="8" t="s">
        <v>133</v>
      </c>
      <c r="B78" s="9" t="s">
        <v>168</v>
      </c>
      <c r="C78" s="10" t="s">
        <v>169</v>
      </c>
      <c r="D78" s="11">
        <f>IFERROR((VLOOKUP(B78, Roccia!$B$2:$D997, 3, FALSE)*(1+Datos!$E$2)), "Revisar")</f>
        <v>124.44</v>
      </c>
      <c r="E78" s="11">
        <f>IFERROR(D78*Datos!$B$3, "Revisar")</f>
        <v>186.66</v>
      </c>
      <c r="F78" s="12">
        <f>IFERROR(E78*Datos!$B$1, "Revisar")</f>
        <v>107804.755</v>
      </c>
      <c r="G78" s="13">
        <f>IFERROR((VLOOKUP(B78, Roccia!$B$2:$D997, 3, FALSE) /(1-Datos!$E$1)), "Revisar")</f>
        <v>148.1428571</v>
      </c>
      <c r="H78" s="13">
        <f>IFERROR(G78*Datos!$B$3, "Revisar")</f>
        <v>222.2142857</v>
      </c>
      <c r="I78" s="13">
        <f t="shared" si="1"/>
        <v>35.55428571</v>
      </c>
    </row>
    <row r="79">
      <c r="A79" s="8" t="s">
        <v>170</v>
      </c>
      <c r="B79" s="9" t="s">
        <v>171</v>
      </c>
      <c r="C79" s="10" t="s">
        <v>172</v>
      </c>
      <c r="D79" s="11">
        <f>IFERROR((VLOOKUP(B79, Roccia!$B$2:$D997, 3, FALSE)*(1+Datos!$E$2)), "Revisar")</f>
        <v>143.268</v>
      </c>
      <c r="E79" s="11">
        <f>IFERROR(D79*Datos!$B$3, "Revisar")</f>
        <v>214.902</v>
      </c>
      <c r="F79" s="12">
        <f>IFERROR(E79*Datos!$B$1, "Revisar")</f>
        <v>124115.812</v>
      </c>
      <c r="G79" s="13">
        <f>IFERROR((VLOOKUP(B79, Roccia!$B$2:$D997, 3, FALSE) /(1-Datos!$E$1)), "Revisar")</f>
        <v>170.5571429</v>
      </c>
      <c r="H79" s="13">
        <f>IFERROR(G79*Datos!$B$3, "Revisar")</f>
        <v>255.8357143</v>
      </c>
      <c r="I79" s="13">
        <f t="shared" si="1"/>
        <v>40.93371429</v>
      </c>
    </row>
    <row r="80">
      <c r="A80" s="8" t="s">
        <v>170</v>
      </c>
      <c r="B80" s="9" t="s">
        <v>173</v>
      </c>
      <c r="C80" s="10" t="s">
        <v>174</v>
      </c>
      <c r="D80" s="11">
        <f>IFERROR((VLOOKUP(B80, Roccia!$B$2:$D997, 3, FALSE)*(1+Datos!$E$2)), "Revisar")</f>
        <v>143.268</v>
      </c>
      <c r="E80" s="11">
        <f>IFERROR(D80*Datos!$B$3, "Revisar")</f>
        <v>214.902</v>
      </c>
      <c r="F80" s="12">
        <f>IFERROR(E80*Datos!$B$1, "Revisar")</f>
        <v>124115.812</v>
      </c>
      <c r="G80" s="13">
        <f>IFERROR((VLOOKUP(B80, Roccia!$B$2:$D997, 3, FALSE) /(1-Datos!$E$1)), "Revisar")</f>
        <v>170.5571429</v>
      </c>
      <c r="H80" s="13">
        <f>IFERROR(G80*Datos!$B$3, "Revisar")</f>
        <v>255.8357143</v>
      </c>
      <c r="I80" s="13">
        <f t="shared" si="1"/>
        <v>40.93371429</v>
      </c>
    </row>
    <row r="81">
      <c r="A81" s="8" t="s">
        <v>170</v>
      </c>
      <c r="B81" s="9" t="s">
        <v>175</v>
      </c>
      <c r="C81" s="10" t="s">
        <v>176</v>
      </c>
      <c r="D81" s="11">
        <f>IFERROR((VLOOKUP(B81, Roccia!$B$2:$D997, 3, FALSE)*(1+Datos!$E$2)), "Revisar")</f>
        <v>147.864</v>
      </c>
      <c r="E81" s="11">
        <f>IFERROR(D81*Datos!$B$3, "Revisar")</f>
        <v>221.796</v>
      </c>
      <c r="F81" s="12">
        <f>IFERROR(E81*Datos!$B$1, "Revisar")</f>
        <v>128097.4148</v>
      </c>
      <c r="G81" s="13">
        <f>IFERROR((VLOOKUP(B81, Roccia!$B$2:$D997, 3, FALSE) /(1-Datos!$E$1)), "Revisar")</f>
        <v>176.0285714</v>
      </c>
      <c r="H81" s="13">
        <f>IFERROR(G81*Datos!$B$3, "Revisar")</f>
        <v>264.0428571</v>
      </c>
      <c r="I81" s="13">
        <f t="shared" si="1"/>
        <v>42.24685714</v>
      </c>
    </row>
    <row r="82">
      <c r="A82" s="8" t="s">
        <v>170</v>
      </c>
      <c r="B82" s="9" t="s">
        <v>177</v>
      </c>
      <c r="C82" s="10" t="s">
        <v>178</v>
      </c>
      <c r="D82" s="11">
        <f>IFERROR((VLOOKUP(B82, Roccia!$B$2:$D997, 3, FALSE)*(1+Datos!$E$2)), "Revisar")</f>
        <v>169.26</v>
      </c>
      <c r="E82" s="11">
        <f>IFERROR(D82*Datos!$B$3, "Revisar")</f>
        <v>253.89</v>
      </c>
      <c r="F82" s="12">
        <f>IFERROR(E82*Datos!$B$1, "Revisar")</f>
        <v>146633.1793</v>
      </c>
      <c r="G82" s="13">
        <f>IFERROR((VLOOKUP(B82, Roccia!$B$2:$D997, 3, FALSE) /(1-Datos!$E$1)), "Revisar")</f>
        <v>201.5</v>
      </c>
      <c r="H82" s="13">
        <f>IFERROR(G82*Datos!$B$3, "Revisar")</f>
        <v>302.25</v>
      </c>
      <c r="I82" s="13">
        <f t="shared" si="1"/>
        <v>48.36</v>
      </c>
    </row>
    <row r="83">
      <c r="A83" s="8" t="s">
        <v>170</v>
      </c>
      <c r="B83" s="9" t="s">
        <v>179</v>
      </c>
      <c r="C83" s="10" t="s">
        <v>180</v>
      </c>
      <c r="D83" s="11">
        <f>IFERROR((VLOOKUP(B83, Roccia!$B$2:$D997, 3, FALSE)*(1+Datos!$E$2)), "Revisar")</f>
        <v>216.252</v>
      </c>
      <c r="E83" s="11">
        <f>IFERROR(D83*Datos!$B$3, "Revisar")</f>
        <v>324.378</v>
      </c>
      <c r="F83" s="12">
        <f>IFERROR(E83*Datos!$B$1, "Revisar")</f>
        <v>187343.2488</v>
      </c>
      <c r="G83" s="13">
        <f>IFERROR((VLOOKUP(B83, Roccia!$B$2:$D997, 3, FALSE) /(1-Datos!$E$1)), "Revisar")</f>
        <v>257.4428571</v>
      </c>
      <c r="H83" s="13">
        <f>IFERROR(G83*Datos!$B$3, "Revisar")</f>
        <v>386.1642857</v>
      </c>
      <c r="I83" s="13">
        <f t="shared" si="1"/>
        <v>61.78628571</v>
      </c>
    </row>
    <row r="84">
      <c r="A84" s="8" t="s">
        <v>170</v>
      </c>
      <c r="B84" s="9" t="s">
        <v>181</v>
      </c>
      <c r="C84" s="10" t="s">
        <v>182</v>
      </c>
      <c r="D84" s="11">
        <f>IFERROR((VLOOKUP(B84, Roccia!$B$2:$D997, 3, FALSE)*(1+Datos!$E$2)), "Revisar")</f>
        <v>256.56</v>
      </c>
      <c r="E84" s="11">
        <f>IFERROR(D84*Datos!$B$3, "Revisar")</f>
        <v>384.84</v>
      </c>
      <c r="F84" s="12">
        <f>IFERROR(E84*Datos!$B$1, "Revisar")</f>
        <v>222262.8411</v>
      </c>
      <c r="G84" s="13">
        <f>IFERROR((VLOOKUP(B84, Roccia!$B$2:$D997, 3, FALSE) /(1-Datos!$E$1)), "Revisar")</f>
        <v>305.4285714</v>
      </c>
      <c r="H84" s="13">
        <f>IFERROR(G84*Datos!$B$3, "Revisar")</f>
        <v>458.1428571</v>
      </c>
      <c r="I84" s="13">
        <f t="shared" si="1"/>
        <v>73.30285714</v>
      </c>
    </row>
    <row r="85">
      <c r="A85" s="8" t="s">
        <v>170</v>
      </c>
      <c r="B85" s="9" t="s">
        <v>183</v>
      </c>
      <c r="C85" s="10" t="s">
        <v>184</v>
      </c>
      <c r="D85" s="11">
        <f>IFERROR((VLOOKUP(B85, Roccia!$B$2:$D997, 3, FALSE)*(1+Datos!$E$2)), "Revisar")</f>
        <v>385.512</v>
      </c>
      <c r="E85" s="11">
        <f>IFERROR(D85*Datos!$B$3, "Revisar")</f>
        <v>578.268</v>
      </c>
      <c r="F85" s="12">
        <f>IFERROR(E85*Datos!$B$1, "Revisar")</f>
        <v>333976.4282</v>
      </c>
      <c r="G85" s="13">
        <f>IFERROR((VLOOKUP(B85, Roccia!$B$2:$D997, 3, FALSE) /(1-Datos!$E$1)), "Revisar")</f>
        <v>458.9428571</v>
      </c>
      <c r="H85" s="13">
        <f>IFERROR(G85*Datos!$B$3, "Revisar")</f>
        <v>688.4142857</v>
      </c>
      <c r="I85" s="13">
        <f t="shared" si="1"/>
        <v>110.1462857</v>
      </c>
    </row>
    <row r="86">
      <c r="A86" s="8" t="s">
        <v>170</v>
      </c>
      <c r="B86" s="9" t="s">
        <v>185</v>
      </c>
      <c r="C86" s="10" t="s">
        <v>186</v>
      </c>
      <c r="D86" s="11">
        <f>IFERROR((VLOOKUP(B86, Roccia!$B$2:$D997, 3, FALSE)*(1+Datos!$E$2)), "Revisar")</f>
        <v>154.14</v>
      </c>
      <c r="E86" s="11">
        <f>IFERROR(D86*Datos!$B$3, "Revisar")</f>
        <v>231.21</v>
      </c>
      <c r="F86" s="12">
        <f>IFERROR(E86*Datos!$B$1, "Revisar")</f>
        <v>133534.4338</v>
      </c>
      <c r="G86" s="13">
        <f>IFERROR((VLOOKUP(B86, Roccia!$B$2:$D997, 3, FALSE) /(1-Datos!$E$1)), "Revisar")</f>
        <v>183.5</v>
      </c>
      <c r="H86" s="13">
        <f>IFERROR(G86*Datos!$B$3, "Revisar")</f>
        <v>275.25</v>
      </c>
      <c r="I86" s="13">
        <f t="shared" si="1"/>
        <v>44.04</v>
      </c>
    </row>
    <row r="87">
      <c r="A87" s="8" t="s">
        <v>170</v>
      </c>
      <c r="B87" s="9" t="s">
        <v>187</v>
      </c>
      <c r="C87" s="10" t="s">
        <v>188</v>
      </c>
      <c r="D87" s="11">
        <f>IFERROR((VLOOKUP(B87, Roccia!$B$2:$D997, 3, FALSE)*(1+Datos!$E$2)), "Revisar")</f>
        <v>152.604</v>
      </c>
      <c r="E87" s="11">
        <f>IFERROR(D87*Datos!$B$3, "Revisar")</f>
        <v>228.906</v>
      </c>
      <c r="F87" s="12">
        <f>IFERROR(E87*Datos!$B$1, "Revisar")</f>
        <v>132203.7676</v>
      </c>
      <c r="G87" s="13">
        <f>IFERROR((VLOOKUP(B87, Roccia!$B$2:$D997, 3, FALSE) /(1-Datos!$E$1)), "Revisar")</f>
        <v>181.6714286</v>
      </c>
      <c r="H87" s="13">
        <f>IFERROR(G87*Datos!$B$3, "Revisar")</f>
        <v>272.5071429</v>
      </c>
      <c r="I87" s="13">
        <f t="shared" si="1"/>
        <v>43.60114286</v>
      </c>
    </row>
    <row r="88">
      <c r="A88" s="8" t="s">
        <v>170</v>
      </c>
      <c r="B88" s="9" t="s">
        <v>189</v>
      </c>
      <c r="C88" s="10" t="s">
        <v>190</v>
      </c>
      <c r="D88" s="11">
        <f>IFERROR((VLOOKUP(B88, Roccia!$B$2:$D997, 3, FALSE)*(1+Datos!$E$2)), "Revisar")</f>
        <v>166.752</v>
      </c>
      <c r="E88" s="11">
        <f>IFERROR(D88*Datos!$B$3, "Revisar")</f>
        <v>250.128</v>
      </c>
      <c r="F88" s="12">
        <f>IFERROR(E88*Datos!$B$1, "Revisar")</f>
        <v>144460.4509</v>
      </c>
      <c r="G88" s="13">
        <f>IFERROR((VLOOKUP(B88, Roccia!$B$2:$D997, 3, FALSE) /(1-Datos!$E$1)), "Revisar")</f>
        <v>198.5142857</v>
      </c>
      <c r="H88" s="13">
        <f>IFERROR(G88*Datos!$B$3, "Revisar")</f>
        <v>297.7714286</v>
      </c>
      <c r="I88" s="13">
        <f t="shared" si="1"/>
        <v>47.64342857</v>
      </c>
    </row>
    <row r="89">
      <c r="A89" s="8" t="s">
        <v>191</v>
      </c>
      <c r="B89" s="9" t="s">
        <v>192</v>
      </c>
      <c r="C89" s="10" t="s">
        <v>193</v>
      </c>
      <c r="D89" s="11">
        <f>IFERROR((VLOOKUP(B89, Roccia!$B$2:$D997, 3, FALSE)*(1+Datos!$E$2)), "Revisar")</f>
        <v>9.6</v>
      </c>
      <c r="E89" s="11">
        <f>IFERROR(D89*Datos!$B$3, "Revisar")</f>
        <v>14.4</v>
      </c>
      <c r="F89" s="12">
        <f>IFERROR(E89*Datos!$B$1, "Revisar")</f>
        <v>8316.66384</v>
      </c>
      <c r="G89" s="13">
        <f>IFERROR((VLOOKUP(B89, Roccia!$B$2:$D997, 3, FALSE) /(1-Datos!$E$1)), "Revisar")</f>
        <v>11.42857143</v>
      </c>
      <c r="H89" s="13">
        <f>IFERROR(G89*Datos!$B$3, "Revisar")</f>
        <v>17.14285714</v>
      </c>
      <c r="I89" s="13">
        <f t="shared" si="1"/>
        <v>2.742857143</v>
      </c>
    </row>
    <row r="90">
      <c r="A90" s="8" t="s">
        <v>191</v>
      </c>
      <c r="B90" s="9" t="s">
        <v>194</v>
      </c>
      <c r="C90" s="10" t="s">
        <v>195</v>
      </c>
      <c r="D90" s="11">
        <f>IFERROR((VLOOKUP(B90, Roccia!$B$2:$D997, 3, FALSE)*(1+Datos!$E$2)), "Revisar")</f>
        <v>17.4</v>
      </c>
      <c r="E90" s="11">
        <f>IFERROR(D90*Datos!$B$3, "Revisar")</f>
        <v>26.1</v>
      </c>
      <c r="F90" s="12">
        <f>IFERROR(E90*Datos!$B$1, "Revisar")</f>
        <v>15073.95321</v>
      </c>
      <c r="G90" s="13">
        <f>IFERROR((VLOOKUP(B90, Roccia!$B$2:$D997, 3, FALSE) /(1-Datos!$E$1)), "Revisar")</f>
        <v>20.71428571</v>
      </c>
      <c r="H90" s="13">
        <f>IFERROR(G90*Datos!$B$3, "Revisar")</f>
        <v>31.07142857</v>
      </c>
      <c r="I90" s="13">
        <f t="shared" si="1"/>
        <v>4.971428571</v>
      </c>
    </row>
    <row r="91">
      <c r="A91" s="8" t="s">
        <v>191</v>
      </c>
      <c r="B91" s="9" t="s">
        <v>196</v>
      </c>
      <c r="C91" s="10" t="s">
        <v>197</v>
      </c>
      <c r="D91" s="11">
        <f>IFERROR((VLOOKUP(B91, Roccia!$B$2:$D997, 3, FALSE)*(1+Datos!$E$2)), "Revisar")</f>
        <v>38.364</v>
      </c>
      <c r="E91" s="11">
        <f>IFERROR(D91*Datos!$B$3, "Revisar")</f>
        <v>57.546</v>
      </c>
      <c r="F91" s="12">
        <f>IFERROR(E91*Datos!$B$1, "Revisar")</f>
        <v>33235.46787</v>
      </c>
      <c r="G91" s="13">
        <f>IFERROR((VLOOKUP(B91, Roccia!$B$2:$D997, 3, FALSE) /(1-Datos!$E$1)), "Revisar")</f>
        <v>45.67142857</v>
      </c>
      <c r="H91" s="13">
        <f>IFERROR(G91*Datos!$B$3, "Revisar")</f>
        <v>68.50714286</v>
      </c>
      <c r="I91" s="13">
        <f t="shared" si="1"/>
        <v>10.96114286</v>
      </c>
    </row>
    <row r="92">
      <c r="A92" s="8" t="s">
        <v>191</v>
      </c>
      <c r="B92" s="9" t="s">
        <v>198</v>
      </c>
      <c r="C92" s="10" t="s">
        <v>199</v>
      </c>
      <c r="D92" s="11">
        <f>IFERROR((VLOOKUP(B92, Roccia!$B$2:$D997, 3, FALSE)*(1+Datos!$E$2)), "Revisar")</f>
        <v>78.204</v>
      </c>
      <c r="E92" s="11">
        <f>IFERROR(D92*Datos!$B$3, "Revisar")</f>
        <v>117.306</v>
      </c>
      <c r="F92" s="12">
        <f>IFERROR(E92*Datos!$B$1, "Revisar")</f>
        <v>67749.62281</v>
      </c>
      <c r="G92" s="13">
        <f>IFERROR((VLOOKUP(B92, Roccia!$B$2:$D997, 3, FALSE) /(1-Datos!$E$1)), "Revisar")</f>
        <v>93.1</v>
      </c>
      <c r="H92" s="13">
        <f>IFERROR(G92*Datos!$B$3, "Revisar")</f>
        <v>139.65</v>
      </c>
      <c r="I92" s="13">
        <f t="shared" si="1"/>
        <v>22.344</v>
      </c>
    </row>
    <row r="93">
      <c r="A93" s="8" t="s">
        <v>191</v>
      </c>
      <c r="B93" s="9" t="s">
        <v>200</v>
      </c>
      <c r="C93" s="10" t="s">
        <v>201</v>
      </c>
      <c r="D93" s="11">
        <f>IFERROR((VLOOKUP(B93, Roccia!$B$2:$D997, 3, FALSE)*(1+Datos!$E$2)), "Revisar")</f>
        <v>143.208</v>
      </c>
      <c r="E93" s="11">
        <f>IFERROR(D93*Datos!$B$3, "Revisar")</f>
        <v>214.812</v>
      </c>
      <c r="F93" s="12">
        <f>IFERROR(E93*Datos!$B$1, "Revisar")</f>
        <v>124063.8328</v>
      </c>
      <c r="G93" s="13">
        <f>IFERROR((VLOOKUP(B93, Roccia!$B$2:$D997, 3, FALSE) /(1-Datos!$E$1)), "Revisar")</f>
        <v>170.4857143</v>
      </c>
      <c r="H93" s="13">
        <f>IFERROR(G93*Datos!$B$3, "Revisar")</f>
        <v>255.7285714</v>
      </c>
      <c r="I93" s="13">
        <f t="shared" si="1"/>
        <v>40.91657143</v>
      </c>
    </row>
    <row r="94">
      <c r="A94" s="8" t="s">
        <v>191</v>
      </c>
      <c r="B94" s="9" t="s">
        <v>202</v>
      </c>
      <c r="C94" s="10" t="s">
        <v>203</v>
      </c>
      <c r="D94" s="11">
        <f>IFERROR((VLOOKUP(B94, Roccia!$B$2:$D997, 3, FALSE)*(1+Datos!$E$2)), "Revisar")</f>
        <v>129.936</v>
      </c>
      <c r="E94" s="11">
        <f>IFERROR(D94*Datos!$B$3, "Revisar")</f>
        <v>194.904</v>
      </c>
      <c r="F94" s="12">
        <f>IFERROR(E94*Datos!$B$1, "Revisar")</f>
        <v>112566.0451</v>
      </c>
      <c r="G94" s="13">
        <f>IFERROR((VLOOKUP(B94, Roccia!$B$2:$D997, 3, FALSE) /(1-Datos!$E$1)), "Revisar")</f>
        <v>154.6857143</v>
      </c>
      <c r="H94" s="13">
        <f>IFERROR(G94*Datos!$B$3, "Revisar")</f>
        <v>232.0285714</v>
      </c>
      <c r="I94" s="13">
        <f t="shared" si="1"/>
        <v>37.12457143</v>
      </c>
    </row>
    <row r="95">
      <c r="A95" s="8" t="s">
        <v>191</v>
      </c>
      <c r="B95" s="9" t="s">
        <v>204</v>
      </c>
      <c r="C95" s="10" t="s">
        <v>205</v>
      </c>
      <c r="D95" s="11">
        <f>IFERROR((VLOOKUP(B95, Roccia!$B$2:$D997, 3, FALSE)*(1+Datos!$E$2)), "Revisar")</f>
        <v>151.74</v>
      </c>
      <c r="E95" s="11">
        <f>IFERROR(D95*Datos!$B$3, "Revisar")</f>
        <v>227.61</v>
      </c>
      <c r="F95" s="12">
        <f>IFERROR(E95*Datos!$B$1, "Revisar")</f>
        <v>131455.2678</v>
      </c>
      <c r="G95" s="13">
        <f>IFERROR((VLOOKUP(B95, Roccia!$B$2:$D997, 3, FALSE) /(1-Datos!$E$1)), "Revisar")</f>
        <v>180.6428571</v>
      </c>
      <c r="H95" s="13">
        <f>IFERROR(G95*Datos!$B$3, "Revisar")</f>
        <v>270.9642857</v>
      </c>
      <c r="I95" s="13">
        <f t="shared" si="1"/>
        <v>43.35428571</v>
      </c>
    </row>
    <row r="96">
      <c r="A96" s="8" t="s">
        <v>191</v>
      </c>
      <c r="B96" s="9" t="s">
        <v>206</v>
      </c>
      <c r="C96" s="10" t="s">
        <v>207</v>
      </c>
      <c r="D96" s="11">
        <f>IFERROR((VLOOKUP(B96, Roccia!$B$2:$D997, 3, FALSE)*(1+Datos!$E$2)), "Revisar")</f>
        <v>134.58</v>
      </c>
      <c r="E96" s="11">
        <f>IFERROR(D96*Datos!$B$3, "Revisar")</f>
        <v>201.87</v>
      </c>
      <c r="F96" s="12">
        <f>IFERROR(E96*Datos!$B$1, "Revisar")</f>
        <v>116589.2312</v>
      </c>
      <c r="G96" s="13">
        <f>IFERROR((VLOOKUP(B96, Roccia!$B$2:$D997, 3, FALSE) /(1-Datos!$E$1)), "Revisar")</f>
        <v>160.2142857</v>
      </c>
      <c r="H96" s="13">
        <f>IFERROR(G96*Datos!$B$3, "Revisar")</f>
        <v>240.3214286</v>
      </c>
      <c r="I96" s="13">
        <f t="shared" si="1"/>
        <v>38.45142857</v>
      </c>
    </row>
    <row r="97">
      <c r="A97" s="8" t="s">
        <v>191</v>
      </c>
      <c r="B97" s="9" t="s">
        <v>208</v>
      </c>
      <c r="C97" s="10" t="s">
        <v>209</v>
      </c>
      <c r="D97" s="11">
        <f>IFERROR((VLOOKUP(B97, Roccia!$B$2:$D997, 3, FALSE)*(1+Datos!$E$2)), "Revisar")</f>
        <v>88.896</v>
      </c>
      <c r="E97" s="11">
        <f>IFERROR(D97*Datos!$B$3, "Revisar")</f>
        <v>133.344</v>
      </c>
      <c r="F97" s="12">
        <f>IFERROR(E97*Datos!$B$1, "Revisar")</f>
        <v>77012.30716</v>
      </c>
      <c r="G97" s="13">
        <f>IFERROR((VLOOKUP(B97, Roccia!$B$2:$D997, 3, FALSE) /(1-Datos!$E$1)), "Revisar")</f>
        <v>105.8285714</v>
      </c>
      <c r="H97" s="13">
        <f>IFERROR(G97*Datos!$B$3, "Revisar")</f>
        <v>158.7428571</v>
      </c>
      <c r="I97" s="13">
        <f t="shared" si="1"/>
        <v>25.39885714</v>
      </c>
    </row>
    <row r="98">
      <c r="A98" s="8" t="s">
        <v>191</v>
      </c>
      <c r="B98" s="9" t="s">
        <v>210</v>
      </c>
      <c r="C98" s="10" t="s">
        <v>211</v>
      </c>
      <c r="D98" s="11">
        <f>IFERROR((VLOOKUP(B98, Roccia!$B$2:$D997, 3, FALSE)*(1+Datos!$E$2)), "Revisar")</f>
        <v>92.88</v>
      </c>
      <c r="E98" s="11">
        <f>IFERROR(D98*Datos!$B$3, "Revisar")</f>
        <v>139.32</v>
      </c>
      <c r="F98" s="12">
        <f>IFERROR(E98*Datos!$B$1, "Revisar")</f>
        <v>80463.72265</v>
      </c>
      <c r="G98" s="13">
        <f>IFERROR((VLOOKUP(B98, Roccia!$B$2:$D997, 3, FALSE) /(1-Datos!$E$1)), "Revisar")</f>
        <v>110.5714286</v>
      </c>
      <c r="H98" s="13">
        <f>IFERROR(G98*Datos!$B$3, "Revisar")</f>
        <v>165.8571429</v>
      </c>
      <c r="I98" s="13">
        <f t="shared" si="1"/>
        <v>26.53714286</v>
      </c>
    </row>
    <row r="99">
      <c r="A99" s="8" t="s">
        <v>191</v>
      </c>
      <c r="B99" s="9" t="s">
        <v>212</v>
      </c>
      <c r="C99" s="10" t="s">
        <v>213</v>
      </c>
      <c r="D99" s="11">
        <f>IFERROR((VLOOKUP(B99, Roccia!$B$2:$D997, 3, FALSE)*(1+Datos!$E$2)), "Revisar")</f>
        <v>51.324</v>
      </c>
      <c r="E99" s="11">
        <f>IFERROR(D99*Datos!$B$3, "Revisar")</f>
        <v>76.986</v>
      </c>
      <c r="F99" s="12">
        <f>IFERROR(E99*Datos!$B$1, "Revisar")</f>
        <v>44462.96405</v>
      </c>
      <c r="G99" s="13">
        <f>IFERROR((VLOOKUP(B99, Roccia!$B$2:$D997, 3, FALSE) /(1-Datos!$E$1)), "Revisar")</f>
        <v>61.1</v>
      </c>
      <c r="H99" s="13">
        <f>IFERROR(G99*Datos!$B$3, "Revisar")</f>
        <v>91.65</v>
      </c>
      <c r="I99" s="13">
        <f t="shared" si="1"/>
        <v>14.664</v>
      </c>
    </row>
    <row r="100">
      <c r="A100" s="8" t="s">
        <v>214</v>
      </c>
      <c r="B100" s="9" t="s">
        <v>215</v>
      </c>
      <c r="C100" s="10" t="s">
        <v>216</v>
      </c>
      <c r="D100" s="11">
        <f>IFERROR((VLOOKUP(B100, Roccia!$B$2:$D997, 3, FALSE)*(1+Datos!$E$2)), "Revisar")</f>
        <v>440.1</v>
      </c>
      <c r="E100" s="11">
        <f>IFERROR(D100*Datos!$B$3, "Revisar")</f>
        <v>660.15</v>
      </c>
      <c r="F100" s="12">
        <f>IFERROR(E100*Datos!$B$1, "Revisar")</f>
        <v>381267.0579</v>
      </c>
      <c r="G100" s="13">
        <f>IFERROR((VLOOKUP(B100, Roccia!$B$2:$D997, 3, FALSE) /(1-Datos!$E$1)), "Revisar")</f>
        <v>523.9285714</v>
      </c>
      <c r="H100" s="13">
        <f>IFERROR(G100*Datos!$B$3, "Revisar")</f>
        <v>785.8928571</v>
      </c>
      <c r="I100" s="13">
        <f t="shared" si="1"/>
        <v>125.7428571</v>
      </c>
    </row>
    <row r="101">
      <c r="A101" s="8" t="s">
        <v>214</v>
      </c>
      <c r="B101" s="9" t="s">
        <v>217</v>
      </c>
      <c r="C101" s="10" t="s">
        <v>218</v>
      </c>
      <c r="D101" s="11">
        <f>IFERROR((VLOOKUP(B101, Roccia!$B$2:$D997, 3, FALSE)*(1+Datos!$E$2)), "Revisar")</f>
        <v>262.824</v>
      </c>
      <c r="E101" s="11">
        <f>IFERROR(D101*Datos!$B$3, "Revisar")</f>
        <v>394.236</v>
      </c>
      <c r="F101" s="12">
        <f>IFERROR(E101*Datos!$B$1, "Revisar")</f>
        <v>227689.4643</v>
      </c>
      <c r="G101" s="13">
        <f>IFERROR((VLOOKUP(B101, Roccia!$B$2:$D997, 3, FALSE) /(1-Datos!$E$1)), "Revisar")</f>
        <v>312.8857143</v>
      </c>
      <c r="H101" s="13">
        <f>IFERROR(G101*Datos!$B$3, "Revisar")</f>
        <v>469.3285714</v>
      </c>
      <c r="I101" s="13">
        <f t="shared" si="1"/>
        <v>75.09257143</v>
      </c>
    </row>
    <row r="102">
      <c r="A102" s="8" t="s">
        <v>214</v>
      </c>
      <c r="B102" s="9" t="s">
        <v>219</v>
      </c>
      <c r="C102" s="10" t="s">
        <v>220</v>
      </c>
      <c r="D102" s="11">
        <f>IFERROR((VLOOKUP(B102, Roccia!$B$2:$D997, 3, FALSE)*(1+Datos!$E$2)), "Revisar")</f>
        <v>362.82</v>
      </c>
      <c r="E102" s="11">
        <f>IFERROR(D102*Datos!$B$3, "Revisar")</f>
        <v>544.23</v>
      </c>
      <c r="F102" s="12">
        <f>IFERROR(E102*Datos!$B$1, "Revisar")</f>
        <v>314317.914</v>
      </c>
      <c r="G102" s="13">
        <f>IFERROR((VLOOKUP(B102, Roccia!$B$2:$D997, 3, FALSE) /(1-Datos!$E$1)), "Revisar")</f>
        <v>431.9285714</v>
      </c>
      <c r="H102" s="13">
        <f>IFERROR(G102*Datos!$B$3, "Revisar")</f>
        <v>647.8928571</v>
      </c>
      <c r="I102" s="13">
        <f t="shared" si="1"/>
        <v>103.6628571</v>
      </c>
    </row>
    <row r="103">
      <c r="A103" s="8" t="s">
        <v>221</v>
      </c>
      <c r="B103" s="9" t="s">
        <v>222</v>
      </c>
      <c r="C103" s="10" t="s">
        <v>223</v>
      </c>
      <c r="D103" s="11">
        <f>IFERROR((VLOOKUP(B103, Roccia!$B$2:$D997, 3, FALSE)*(1+Datos!$E$2)), "Revisar")</f>
        <v>16.452</v>
      </c>
      <c r="E103" s="11">
        <f>IFERROR(D103*Datos!$B$3, "Revisar")</f>
        <v>24.678</v>
      </c>
      <c r="F103" s="12">
        <f>IFERROR(E103*Datos!$B$1, "Revisar")</f>
        <v>14252.68266</v>
      </c>
      <c r="G103" s="13">
        <f>IFERROR((VLOOKUP(B103, Roccia!$B$2:$D997, 3, FALSE) /(1-Datos!$E$1)), "Revisar")</f>
        <v>19.58571429</v>
      </c>
      <c r="H103" s="13">
        <f>IFERROR(G103*Datos!$B$3, "Revisar")</f>
        <v>29.37857143</v>
      </c>
      <c r="I103" s="13">
        <f t="shared" si="1"/>
        <v>4.700571429</v>
      </c>
    </row>
    <row r="104">
      <c r="A104" s="8" t="s">
        <v>221</v>
      </c>
      <c r="B104" s="9" t="s">
        <v>224</v>
      </c>
      <c r="C104" s="10" t="s">
        <v>225</v>
      </c>
      <c r="D104" s="11">
        <f>IFERROR((VLOOKUP(B104, Roccia!$B$2:$D997, 3, FALSE)*(1+Datos!$E$2)), "Revisar")</f>
        <v>23.664</v>
      </c>
      <c r="E104" s="11">
        <f>IFERROR(D104*Datos!$B$3, "Revisar")</f>
        <v>35.496</v>
      </c>
      <c r="F104" s="12">
        <f>IFERROR(E104*Datos!$B$1, "Revisar")</f>
        <v>20500.57637</v>
      </c>
      <c r="G104" s="13">
        <f>IFERROR((VLOOKUP(B104, Roccia!$B$2:$D997, 3, FALSE) /(1-Datos!$E$1)), "Revisar")</f>
        <v>28.17142857</v>
      </c>
      <c r="H104" s="13">
        <f>IFERROR(G104*Datos!$B$3, "Revisar")</f>
        <v>42.25714286</v>
      </c>
      <c r="I104" s="13">
        <f t="shared" si="1"/>
        <v>6.761142857</v>
      </c>
    </row>
    <row r="105">
      <c r="A105" s="8" t="s">
        <v>221</v>
      </c>
      <c r="B105" s="9" t="s">
        <v>226</v>
      </c>
      <c r="C105" s="10" t="s">
        <v>227</v>
      </c>
      <c r="D105" s="11">
        <f>IFERROR((VLOOKUP(B105, Roccia!$B$2:$D997, 3, FALSE)*(1+Datos!$E$2)), "Revisar")</f>
        <v>27.6</v>
      </c>
      <c r="E105" s="11">
        <f>IFERROR(D105*Datos!$B$3, "Revisar")</f>
        <v>41.4</v>
      </c>
      <c r="F105" s="12">
        <f>IFERROR(E105*Datos!$B$1, "Revisar")</f>
        <v>23910.40854</v>
      </c>
      <c r="G105" s="13">
        <f>IFERROR((VLOOKUP(B105, Roccia!$B$2:$D997, 3, FALSE) /(1-Datos!$E$1)), "Revisar")</f>
        <v>32.85714286</v>
      </c>
      <c r="H105" s="13">
        <f>IFERROR(G105*Datos!$B$3, "Revisar")</f>
        <v>49.28571429</v>
      </c>
      <c r="I105" s="13">
        <f t="shared" si="1"/>
        <v>7.885714286</v>
      </c>
    </row>
    <row r="106">
      <c r="A106" s="8" t="s">
        <v>221</v>
      </c>
      <c r="B106" s="9" t="s">
        <v>228</v>
      </c>
      <c r="C106" s="10" t="s">
        <v>229</v>
      </c>
      <c r="D106" s="11">
        <f>IFERROR((VLOOKUP(B106, Roccia!$B$2:$D997, 3, FALSE)*(1+Datos!$E$2)), "Revisar")</f>
        <v>15.6</v>
      </c>
      <c r="E106" s="11">
        <f>IFERROR(D106*Datos!$B$3, "Revisar")</f>
        <v>23.4</v>
      </c>
      <c r="F106" s="12">
        <f>IFERROR(E106*Datos!$B$1, "Revisar")</f>
        <v>13514.57874</v>
      </c>
      <c r="G106" s="13">
        <f>IFERROR((VLOOKUP(B106, Roccia!$B$2:$D997, 3, FALSE) /(1-Datos!$E$1)), "Revisar")</f>
        <v>18.57142857</v>
      </c>
      <c r="H106" s="13">
        <f>IFERROR(G106*Datos!$B$3, "Revisar")</f>
        <v>27.85714286</v>
      </c>
      <c r="I106" s="13">
        <f t="shared" si="1"/>
        <v>4.457142857</v>
      </c>
    </row>
    <row r="107">
      <c r="A107" s="8" t="s">
        <v>221</v>
      </c>
      <c r="B107" s="9" t="s">
        <v>230</v>
      </c>
      <c r="C107" s="10" t="s">
        <v>231</v>
      </c>
      <c r="D107" s="11">
        <f>IFERROR((VLOOKUP(B107, Roccia!$B$2:$D997, 3, FALSE)*(1+Datos!$E$2)), "Revisar")</f>
        <v>25.944</v>
      </c>
      <c r="E107" s="11">
        <f>IFERROR(D107*Datos!$B$3, "Revisar")</f>
        <v>38.916</v>
      </c>
      <c r="F107" s="12">
        <f>IFERROR(E107*Datos!$B$1, "Revisar")</f>
        <v>22475.78403</v>
      </c>
      <c r="G107" s="13">
        <f>IFERROR((VLOOKUP(B107, Roccia!$B$2:$D997, 3, FALSE) /(1-Datos!$E$1)), "Revisar")</f>
        <v>30.88571429</v>
      </c>
      <c r="H107" s="13">
        <f>IFERROR(G107*Datos!$B$3, "Revisar")</f>
        <v>46.32857143</v>
      </c>
      <c r="I107" s="13">
        <f t="shared" si="1"/>
        <v>7.412571429</v>
      </c>
    </row>
    <row r="108">
      <c r="A108" s="8" t="s">
        <v>221</v>
      </c>
      <c r="B108" s="9" t="s">
        <v>232</v>
      </c>
      <c r="C108" s="10" t="s">
        <v>233</v>
      </c>
      <c r="D108" s="11">
        <f>IFERROR((VLOOKUP(B108, Roccia!$B$2:$D997, 3, FALSE)*(1+Datos!$E$2)), "Revisar")</f>
        <v>60.876</v>
      </c>
      <c r="E108" s="11">
        <f>IFERROR(D108*Datos!$B$3, "Revisar")</f>
        <v>91.314</v>
      </c>
      <c r="F108" s="12">
        <f>IFERROR(E108*Datos!$B$1, "Revisar")</f>
        <v>52738.04458</v>
      </c>
      <c r="G108" s="13">
        <f>IFERROR((VLOOKUP(B108, Roccia!$B$2:$D997, 3, FALSE) /(1-Datos!$E$1)), "Revisar")</f>
        <v>72.47142857</v>
      </c>
      <c r="H108" s="13">
        <f>IFERROR(G108*Datos!$B$3, "Revisar")</f>
        <v>108.7071429</v>
      </c>
      <c r="I108" s="13">
        <f t="shared" si="1"/>
        <v>17.39314286</v>
      </c>
    </row>
    <row r="109">
      <c r="A109" s="8" t="s">
        <v>221</v>
      </c>
      <c r="B109" s="9" t="s">
        <v>234</v>
      </c>
      <c r="C109" s="10" t="s">
        <v>235</v>
      </c>
      <c r="D109" s="11">
        <f>IFERROR((VLOOKUP(B109, Roccia!$B$2:$D997, 3, FALSE)*(1+Datos!$E$2)), "Revisar")</f>
        <v>43.2</v>
      </c>
      <c r="E109" s="11">
        <f>IFERROR(D109*Datos!$B$3, "Revisar")</f>
        <v>64.8</v>
      </c>
      <c r="F109" s="12">
        <f>IFERROR(E109*Datos!$B$1, "Revisar")</f>
        <v>37424.98728</v>
      </c>
      <c r="G109" s="13">
        <f>IFERROR((VLOOKUP(B109, Roccia!$B$2:$D997, 3, FALSE) /(1-Datos!$E$1)), "Revisar")</f>
        <v>51.42857143</v>
      </c>
      <c r="H109" s="13">
        <f>IFERROR(G109*Datos!$B$3, "Revisar")</f>
        <v>77.14285714</v>
      </c>
      <c r="I109" s="13">
        <f t="shared" si="1"/>
        <v>12.34285714</v>
      </c>
    </row>
    <row r="110">
      <c r="A110" s="8" t="s">
        <v>221</v>
      </c>
      <c r="B110" s="9" t="s">
        <v>236</v>
      </c>
      <c r="C110" s="10" t="s">
        <v>237</v>
      </c>
      <c r="D110" s="11">
        <f>IFERROR((VLOOKUP(B110, Roccia!$B$2:$D997, 3, FALSE)*(1+Datos!$E$2)), "Revisar")</f>
        <v>48</v>
      </c>
      <c r="E110" s="11">
        <f>IFERROR(D110*Datos!$B$3, "Revisar")</f>
        <v>72</v>
      </c>
      <c r="F110" s="12">
        <f>IFERROR(E110*Datos!$B$1, "Revisar")</f>
        <v>41583.3192</v>
      </c>
      <c r="G110" s="13">
        <f>IFERROR((VLOOKUP(B110, Roccia!$B$2:$D997, 3, FALSE) /(1-Datos!$E$1)), "Revisar")</f>
        <v>57.14285714</v>
      </c>
      <c r="H110" s="13">
        <f>IFERROR(G110*Datos!$B$3, "Revisar")</f>
        <v>85.71428571</v>
      </c>
      <c r="I110" s="13">
        <f t="shared" si="1"/>
        <v>13.71428571</v>
      </c>
    </row>
    <row r="111">
      <c r="A111" s="8" t="s">
        <v>221</v>
      </c>
      <c r="B111" s="9" t="s">
        <v>238</v>
      </c>
      <c r="C111" s="10" t="s">
        <v>239</v>
      </c>
      <c r="D111" s="11">
        <f>IFERROR((VLOOKUP(B111, Roccia!$B$2:$D997, 3, FALSE)*(1+Datos!$E$2)), "Revisar")</f>
        <v>42</v>
      </c>
      <c r="E111" s="11">
        <f>IFERROR(D111*Datos!$B$3, "Revisar")</f>
        <v>63</v>
      </c>
      <c r="F111" s="12">
        <f>IFERROR(E111*Datos!$B$1, "Revisar")</f>
        <v>36385.4043</v>
      </c>
      <c r="G111" s="13">
        <f>IFERROR((VLOOKUP(B111, Roccia!$B$2:$D997, 3, FALSE) /(1-Datos!$E$1)), "Revisar")</f>
        <v>50</v>
      </c>
      <c r="H111" s="13">
        <f>IFERROR(G111*Datos!$B$3, "Revisar")</f>
        <v>75</v>
      </c>
      <c r="I111" s="13">
        <f t="shared" si="1"/>
        <v>12</v>
      </c>
    </row>
    <row r="112">
      <c r="A112" s="8" t="s">
        <v>221</v>
      </c>
      <c r="B112" s="9" t="s">
        <v>240</v>
      </c>
      <c r="C112" s="10" t="s">
        <v>241</v>
      </c>
      <c r="D112" s="11">
        <f>IFERROR((VLOOKUP(B112, Roccia!$B$2:$D997, 3, FALSE)*(1+Datos!$E$2)), "Revisar")</f>
        <v>15.84</v>
      </c>
      <c r="E112" s="11">
        <f>IFERROR(D112*Datos!$B$3, "Revisar")</f>
        <v>23.76</v>
      </c>
      <c r="F112" s="12">
        <f>IFERROR(E112*Datos!$B$1, "Revisar")</f>
        <v>13722.49534</v>
      </c>
      <c r="G112" s="13">
        <f>IFERROR((VLOOKUP(B112, Roccia!$B$2:$D997, 3, FALSE) /(1-Datos!$E$1)), "Revisar")</f>
        <v>18.85714286</v>
      </c>
      <c r="H112" s="13">
        <f>IFERROR(G112*Datos!$B$3, "Revisar")</f>
        <v>28.28571429</v>
      </c>
      <c r="I112" s="13">
        <f t="shared" si="1"/>
        <v>4.525714286</v>
      </c>
    </row>
    <row r="113">
      <c r="A113" s="8" t="s">
        <v>221</v>
      </c>
      <c r="B113" s="9" t="s">
        <v>242</v>
      </c>
      <c r="C113" s="10" t="s">
        <v>243</v>
      </c>
      <c r="D113" s="11">
        <f>IFERROR((VLOOKUP(B113, Roccia!$B$2:$D997, 3, FALSE)*(1+Datos!$E$2)), "Revisar")</f>
        <v>30</v>
      </c>
      <c r="E113" s="11">
        <f>IFERROR(D113*Datos!$B$3, "Revisar")</f>
        <v>45</v>
      </c>
      <c r="F113" s="12">
        <f>IFERROR(E113*Datos!$B$1, "Revisar")</f>
        <v>25989.5745</v>
      </c>
      <c r="G113" s="13">
        <f>IFERROR((VLOOKUP(B113, Roccia!$B$2:$D997, 3, FALSE) /(1-Datos!$E$1)), "Revisar")</f>
        <v>35.71428571</v>
      </c>
      <c r="H113" s="13">
        <f>IFERROR(G113*Datos!$B$3, "Revisar")</f>
        <v>53.57142857</v>
      </c>
      <c r="I113" s="13">
        <f t="shared" si="1"/>
        <v>8.571428571</v>
      </c>
    </row>
    <row r="114">
      <c r="A114" s="8" t="s">
        <v>221</v>
      </c>
      <c r="B114" s="9" t="s">
        <v>244</v>
      </c>
      <c r="C114" s="10" t="s">
        <v>245</v>
      </c>
      <c r="D114" s="11">
        <f>IFERROR((VLOOKUP(B114, Roccia!$B$2:$D997, 3, FALSE)*(1+Datos!$E$2)), "Revisar")</f>
        <v>27.6</v>
      </c>
      <c r="E114" s="11">
        <f>IFERROR(D114*Datos!$B$3, "Revisar")</f>
        <v>41.4</v>
      </c>
      <c r="F114" s="12">
        <f>IFERROR(E114*Datos!$B$1, "Revisar")</f>
        <v>23910.40854</v>
      </c>
      <c r="G114" s="13">
        <f>IFERROR((VLOOKUP(B114, Roccia!$B$2:$D997, 3, FALSE) /(1-Datos!$E$1)), "Revisar")</f>
        <v>32.85714286</v>
      </c>
      <c r="H114" s="13">
        <f>IFERROR(G114*Datos!$B$3, "Revisar")</f>
        <v>49.28571429</v>
      </c>
      <c r="I114" s="13">
        <f t="shared" si="1"/>
        <v>7.885714286</v>
      </c>
    </row>
    <row r="115">
      <c r="A115" s="8" t="s">
        <v>221</v>
      </c>
      <c r="B115" s="9" t="s">
        <v>246</v>
      </c>
      <c r="C115" s="10" t="s">
        <v>247</v>
      </c>
      <c r="D115" s="11">
        <f>IFERROR((VLOOKUP(B115, Roccia!$B$2:$D997, 3, FALSE)*(1+Datos!$E$2)), "Revisar")</f>
        <v>40.716</v>
      </c>
      <c r="E115" s="11">
        <f>IFERROR(D115*Datos!$B$3, "Revisar")</f>
        <v>61.074</v>
      </c>
      <c r="F115" s="12">
        <f>IFERROR(E115*Datos!$B$1, "Revisar")</f>
        <v>35273.05051</v>
      </c>
      <c r="G115" s="13">
        <f>IFERROR((VLOOKUP(B115, Roccia!$B$2:$D997, 3, FALSE) /(1-Datos!$E$1)), "Revisar")</f>
        <v>48.47142857</v>
      </c>
      <c r="H115" s="13">
        <f>IFERROR(G115*Datos!$B$3, "Revisar")</f>
        <v>72.70714286</v>
      </c>
      <c r="I115" s="13">
        <f t="shared" si="1"/>
        <v>11.63314286</v>
      </c>
    </row>
    <row r="116">
      <c r="A116" s="8" t="s">
        <v>221</v>
      </c>
      <c r="B116" s="9" t="s">
        <v>248</v>
      </c>
      <c r="C116" s="10" t="s">
        <v>249</v>
      </c>
      <c r="D116" s="11">
        <f>IFERROR((VLOOKUP(B116, Roccia!$B$2:$D997, 3, FALSE)*(1+Datos!$E$2)), "Revisar")</f>
        <v>50.4</v>
      </c>
      <c r="E116" s="11">
        <f>IFERROR(D116*Datos!$B$3, "Revisar")</f>
        <v>75.6</v>
      </c>
      <c r="F116" s="12">
        <f>IFERROR(E116*Datos!$B$1, "Revisar")</f>
        <v>43662.48516</v>
      </c>
      <c r="G116" s="13">
        <f>IFERROR((VLOOKUP(B116, Roccia!$B$2:$D997, 3, FALSE) /(1-Datos!$E$1)), "Revisar")</f>
        <v>60</v>
      </c>
      <c r="H116" s="13">
        <f>IFERROR(G116*Datos!$B$3, "Revisar")</f>
        <v>90</v>
      </c>
      <c r="I116" s="13">
        <f t="shared" si="1"/>
        <v>14.4</v>
      </c>
    </row>
    <row r="117">
      <c r="A117" s="8" t="s">
        <v>221</v>
      </c>
      <c r="B117" s="9" t="s">
        <v>250</v>
      </c>
      <c r="C117" s="10" t="s">
        <v>251</v>
      </c>
      <c r="D117" s="11">
        <f>IFERROR((VLOOKUP(B117, Roccia!$B$2:$D997, 3, FALSE)*(1+Datos!$E$2)), "Revisar")</f>
        <v>37.2</v>
      </c>
      <c r="E117" s="11">
        <f>IFERROR(D117*Datos!$B$3, "Revisar")</f>
        <v>55.8</v>
      </c>
      <c r="F117" s="12">
        <f>IFERROR(E117*Datos!$B$1, "Revisar")</f>
        <v>32227.07238</v>
      </c>
      <c r="G117" s="13">
        <f>IFERROR((VLOOKUP(B117, Roccia!$B$2:$D997, 3, FALSE) /(1-Datos!$E$1)), "Revisar")</f>
        <v>44.28571429</v>
      </c>
      <c r="H117" s="13">
        <f>IFERROR(G117*Datos!$B$3, "Revisar")</f>
        <v>66.42857143</v>
      </c>
      <c r="I117" s="13">
        <f t="shared" si="1"/>
        <v>10.62857143</v>
      </c>
    </row>
    <row r="118">
      <c r="A118" s="8" t="s">
        <v>221</v>
      </c>
      <c r="B118" s="9" t="s">
        <v>252</v>
      </c>
      <c r="C118" s="10" t="s">
        <v>253</v>
      </c>
      <c r="D118" s="11">
        <f>IFERROR((VLOOKUP(B118, Roccia!$B$2:$D997, 3, FALSE)*(1+Datos!$E$2)), "Revisar")</f>
        <v>8.4</v>
      </c>
      <c r="E118" s="11">
        <f>IFERROR(D118*Datos!$B$3, "Revisar")</f>
        <v>12.6</v>
      </c>
      <c r="F118" s="12">
        <f>IFERROR(E118*Datos!$B$1, "Revisar")</f>
        <v>7277.08086</v>
      </c>
      <c r="G118" s="13">
        <f>IFERROR((VLOOKUP(B118, Roccia!$B$2:$D997, 3, FALSE) /(1-Datos!$E$1)), "Revisar")</f>
        <v>10</v>
      </c>
      <c r="H118" s="13">
        <f>IFERROR(G118*Datos!$B$3, "Revisar")</f>
        <v>15</v>
      </c>
      <c r="I118" s="13">
        <f t="shared" si="1"/>
        <v>2.4</v>
      </c>
    </row>
    <row r="119">
      <c r="A119" s="8" t="s">
        <v>221</v>
      </c>
      <c r="B119" s="9" t="s">
        <v>254</v>
      </c>
      <c r="C119" s="10" t="s">
        <v>255</v>
      </c>
      <c r="D119" s="11">
        <f>IFERROR((VLOOKUP(B119, Roccia!$B$2:$D997, 3, FALSE)*(1+Datos!$E$2)), "Revisar")</f>
        <v>9.6</v>
      </c>
      <c r="E119" s="11">
        <f>IFERROR(D119*Datos!$B$3, "Revisar")</f>
        <v>14.4</v>
      </c>
      <c r="F119" s="12">
        <f>IFERROR(E119*Datos!$B$1, "Revisar")</f>
        <v>8316.66384</v>
      </c>
      <c r="G119" s="13">
        <f>IFERROR((VLOOKUP(B119, Roccia!$B$2:$D997, 3, FALSE) /(1-Datos!$E$1)), "Revisar")</f>
        <v>11.42857143</v>
      </c>
      <c r="H119" s="13">
        <f>IFERROR(G119*Datos!$B$3, "Revisar")</f>
        <v>17.14285714</v>
      </c>
      <c r="I119" s="13">
        <f t="shared" si="1"/>
        <v>2.742857143</v>
      </c>
    </row>
    <row r="120">
      <c r="A120" s="8" t="s">
        <v>221</v>
      </c>
      <c r="B120" s="9" t="s">
        <v>256</v>
      </c>
      <c r="C120" s="10" t="s">
        <v>257</v>
      </c>
      <c r="D120" s="11">
        <f>IFERROR((VLOOKUP(B120, Roccia!$B$2:$D997, 3, FALSE)*(1+Datos!$E$2)), "Revisar")</f>
        <v>7.2</v>
      </c>
      <c r="E120" s="11">
        <f>IFERROR(D120*Datos!$B$3, "Revisar")</f>
        <v>10.8</v>
      </c>
      <c r="F120" s="12">
        <f>IFERROR(E120*Datos!$B$1, "Revisar")</f>
        <v>6237.49788</v>
      </c>
      <c r="G120" s="13">
        <f>IFERROR((VLOOKUP(B120, Roccia!$B$2:$D997, 3, FALSE) /(1-Datos!$E$1)), "Revisar")</f>
        <v>8.571428571</v>
      </c>
      <c r="H120" s="13">
        <f>IFERROR(G120*Datos!$B$3, "Revisar")</f>
        <v>12.85714286</v>
      </c>
      <c r="I120" s="13">
        <f t="shared" si="1"/>
        <v>2.057142857</v>
      </c>
    </row>
    <row r="121">
      <c r="A121" s="8" t="s">
        <v>221</v>
      </c>
      <c r="B121" s="9" t="s">
        <v>258</v>
      </c>
      <c r="C121" s="10" t="s">
        <v>259</v>
      </c>
      <c r="D121" s="11">
        <f>IFERROR((VLOOKUP(B121, Roccia!$B$2:$D997, 3, FALSE)*(1+Datos!$E$2)), "Revisar")</f>
        <v>10.8</v>
      </c>
      <c r="E121" s="11">
        <f>IFERROR(D121*Datos!$B$3, "Revisar")</f>
        <v>16.2</v>
      </c>
      <c r="F121" s="12">
        <f>IFERROR(E121*Datos!$B$1, "Revisar")</f>
        <v>9356.24682</v>
      </c>
      <c r="G121" s="13">
        <f>IFERROR((VLOOKUP(B121, Roccia!$B$2:$D997, 3, FALSE) /(1-Datos!$E$1)), "Revisar")</f>
        <v>12.85714286</v>
      </c>
      <c r="H121" s="13">
        <f>IFERROR(G121*Datos!$B$3, "Revisar")</f>
        <v>19.28571429</v>
      </c>
      <c r="I121" s="13">
        <f t="shared" si="1"/>
        <v>3.085714286</v>
      </c>
    </row>
    <row r="122">
      <c r="A122" s="8" t="s">
        <v>221</v>
      </c>
      <c r="B122" s="9" t="s">
        <v>260</v>
      </c>
      <c r="C122" s="10" t="s">
        <v>261</v>
      </c>
      <c r="D122" s="11">
        <f>IFERROR((VLOOKUP(B122, Roccia!$B$2:$D997, 3, FALSE)*(1+Datos!$E$2)), "Revisar")</f>
        <v>3.6</v>
      </c>
      <c r="E122" s="11">
        <f>IFERROR(D122*Datos!$B$3, "Revisar")</f>
        <v>5.4</v>
      </c>
      <c r="F122" s="12">
        <f>IFERROR(E122*Datos!$B$1, "Revisar")</f>
        <v>3118.74894</v>
      </c>
      <c r="G122" s="13">
        <f>IFERROR((VLOOKUP(B122, Roccia!$B$2:$D997, 3, FALSE) /(1-Datos!$E$1)), "Revisar")</f>
        <v>4.285714286</v>
      </c>
      <c r="H122" s="13">
        <f>IFERROR(G122*Datos!$B$3, "Revisar")</f>
        <v>6.428571429</v>
      </c>
      <c r="I122" s="13">
        <f t="shared" si="1"/>
        <v>1.028571429</v>
      </c>
    </row>
    <row r="123">
      <c r="A123" s="8" t="s">
        <v>221</v>
      </c>
      <c r="B123" s="9" t="s">
        <v>262</v>
      </c>
      <c r="C123" s="10" t="s">
        <v>263</v>
      </c>
      <c r="D123" s="11">
        <f>IFERROR((VLOOKUP(B123, Roccia!$B$2:$D997, 3, FALSE)*(1+Datos!$E$2)), "Revisar")</f>
        <v>9.6</v>
      </c>
      <c r="E123" s="11">
        <f>IFERROR(D123*Datos!$B$3, "Revisar")</f>
        <v>14.4</v>
      </c>
      <c r="F123" s="12">
        <f>IFERROR(E123*Datos!$B$1, "Revisar")</f>
        <v>8316.66384</v>
      </c>
      <c r="G123" s="13">
        <f>IFERROR((VLOOKUP(B123, Roccia!$B$2:$D997, 3, FALSE) /(1-Datos!$E$1)), "Revisar")</f>
        <v>11.42857143</v>
      </c>
      <c r="H123" s="13">
        <f>IFERROR(G123*Datos!$B$3, "Revisar")</f>
        <v>17.14285714</v>
      </c>
      <c r="I123" s="13">
        <f t="shared" si="1"/>
        <v>2.742857143</v>
      </c>
    </row>
    <row r="124">
      <c r="A124" s="8" t="s">
        <v>221</v>
      </c>
      <c r="B124" s="9" t="s">
        <v>264</v>
      </c>
      <c r="C124" s="10" t="s">
        <v>265</v>
      </c>
      <c r="D124" s="11">
        <f>IFERROR((VLOOKUP(B124, Roccia!$B$2:$D997, 3, FALSE)*(1+Datos!$E$2)), "Revisar")</f>
        <v>4.8</v>
      </c>
      <c r="E124" s="11">
        <f>IFERROR(D124*Datos!$B$3, "Revisar")</f>
        <v>7.2</v>
      </c>
      <c r="F124" s="12">
        <f>IFERROR(E124*Datos!$B$1, "Revisar")</f>
        <v>4158.33192</v>
      </c>
      <c r="G124" s="13">
        <f>IFERROR((VLOOKUP(B124, Roccia!$B$2:$D997, 3, FALSE) /(1-Datos!$E$1)), "Revisar")</f>
        <v>5.714285714</v>
      </c>
      <c r="H124" s="13">
        <f>IFERROR(G124*Datos!$B$3, "Revisar")</f>
        <v>8.571428571</v>
      </c>
      <c r="I124" s="13">
        <f t="shared" si="1"/>
        <v>1.371428571</v>
      </c>
    </row>
    <row r="125">
      <c r="A125" s="8" t="s">
        <v>221</v>
      </c>
      <c r="B125" s="9" t="s">
        <v>266</v>
      </c>
      <c r="C125" s="10" t="s">
        <v>267</v>
      </c>
      <c r="D125" s="11">
        <f>IFERROR((VLOOKUP(B125, Roccia!$B$2:$D997, 3, FALSE)*(1+Datos!$E$2)), "Revisar")</f>
        <v>3</v>
      </c>
      <c r="E125" s="11">
        <f>IFERROR(D125*Datos!$B$3, "Revisar")</f>
        <v>4.5</v>
      </c>
      <c r="F125" s="12">
        <f>IFERROR(E125*Datos!$B$1, "Revisar")</f>
        <v>2598.95745</v>
      </c>
      <c r="G125" s="13">
        <f>IFERROR((VLOOKUP(B125, Roccia!$B$2:$D997, 3, FALSE) /(1-Datos!$E$1)), "Revisar")</f>
        <v>3.571428571</v>
      </c>
      <c r="H125" s="13">
        <f>IFERROR(G125*Datos!$B$3, "Revisar")</f>
        <v>5.357142857</v>
      </c>
      <c r="I125" s="13">
        <f t="shared" si="1"/>
        <v>0.8571428571</v>
      </c>
    </row>
    <row r="126">
      <c r="A126" s="8" t="s">
        <v>221</v>
      </c>
      <c r="B126" s="9" t="s">
        <v>268</v>
      </c>
      <c r="C126" s="10" t="s">
        <v>269</v>
      </c>
      <c r="D126" s="11">
        <f>IFERROR((VLOOKUP(B126, Roccia!$B$2:$D997, 3, FALSE)*(1+Datos!$E$2)), "Revisar")</f>
        <v>6</v>
      </c>
      <c r="E126" s="11">
        <f>IFERROR(D126*Datos!$B$3, "Revisar")</f>
        <v>9</v>
      </c>
      <c r="F126" s="12">
        <f>IFERROR(E126*Datos!$B$1, "Revisar")</f>
        <v>5197.9149</v>
      </c>
      <c r="G126" s="13">
        <f>IFERROR((VLOOKUP(B126, Roccia!$B$2:$D997, 3, FALSE) /(1-Datos!$E$1)), "Revisar")</f>
        <v>7.142857143</v>
      </c>
      <c r="H126" s="13">
        <f>IFERROR(G126*Datos!$B$3, "Revisar")</f>
        <v>10.71428571</v>
      </c>
      <c r="I126" s="13">
        <f t="shared" si="1"/>
        <v>1.714285714</v>
      </c>
    </row>
    <row r="127">
      <c r="A127" s="8" t="s">
        <v>221</v>
      </c>
      <c r="B127" s="9" t="s">
        <v>270</v>
      </c>
      <c r="C127" s="10" t="s">
        <v>271</v>
      </c>
      <c r="D127" s="11">
        <f>IFERROR((VLOOKUP(B127, Roccia!$B$2:$D997, 3, FALSE)*(1+Datos!$E$2)), "Revisar")</f>
        <v>42</v>
      </c>
      <c r="E127" s="11">
        <f>IFERROR(D127*Datos!$B$3, "Revisar")</f>
        <v>63</v>
      </c>
      <c r="F127" s="12">
        <f>IFERROR(E127*Datos!$B$1, "Revisar")</f>
        <v>36385.4043</v>
      </c>
      <c r="G127" s="13">
        <f>IFERROR((VLOOKUP(B127, Roccia!$B$2:$D997, 3, FALSE) /(1-Datos!$E$1)), "Revisar")</f>
        <v>50</v>
      </c>
      <c r="H127" s="13">
        <f>IFERROR(G127*Datos!$B$3, "Revisar")</f>
        <v>75</v>
      </c>
      <c r="I127" s="13">
        <f t="shared" si="1"/>
        <v>12</v>
      </c>
    </row>
    <row r="128">
      <c r="A128" s="8" t="s">
        <v>221</v>
      </c>
      <c r="B128" s="9" t="s">
        <v>272</v>
      </c>
      <c r="C128" s="10" t="s">
        <v>273</v>
      </c>
      <c r="D128" s="11">
        <f>IFERROR((VLOOKUP(B128, Roccia!$B$2:$D997, 3, FALSE)*(1+Datos!$E$2)), "Revisar")</f>
        <v>108.912</v>
      </c>
      <c r="E128" s="11">
        <f>IFERROR(D128*Datos!$B$3, "Revisar")</f>
        <v>163.368</v>
      </c>
      <c r="F128" s="12">
        <f>IFERROR(E128*Datos!$B$1, "Revisar")</f>
        <v>94352.55126</v>
      </c>
      <c r="G128" s="13">
        <f>IFERROR((VLOOKUP(B128, Roccia!$B$2:$D997, 3, FALSE) /(1-Datos!$E$1)), "Revisar")</f>
        <v>129.6571429</v>
      </c>
      <c r="H128" s="13">
        <f>IFERROR(G128*Datos!$B$3, "Revisar")</f>
        <v>194.4857143</v>
      </c>
      <c r="I128" s="13">
        <f t="shared" si="1"/>
        <v>31.11771429</v>
      </c>
    </row>
    <row r="129">
      <c r="A129" s="8" t="s">
        <v>221</v>
      </c>
      <c r="B129" s="9" t="s">
        <v>274</v>
      </c>
      <c r="C129" s="10" t="s">
        <v>275</v>
      </c>
      <c r="D129" s="11">
        <f>IFERROR((VLOOKUP(B129, Roccia!$B$2:$D997, 3, FALSE)*(1+Datos!$E$2)), "Revisar")</f>
        <v>415.92</v>
      </c>
      <c r="E129" s="11">
        <f>IFERROR(D129*Datos!$B$3, "Revisar")</f>
        <v>623.88</v>
      </c>
      <c r="F129" s="12">
        <f>IFERROR(E129*Datos!$B$1, "Revisar")</f>
        <v>360319.4609</v>
      </c>
      <c r="G129" s="13">
        <f>IFERROR((VLOOKUP(B129, Roccia!$B$2:$D997, 3, FALSE) /(1-Datos!$E$1)), "Revisar")</f>
        <v>495.1428571</v>
      </c>
      <c r="H129" s="13">
        <f>IFERROR(G129*Datos!$B$3, "Revisar")</f>
        <v>742.7142857</v>
      </c>
      <c r="I129" s="13">
        <f t="shared" si="1"/>
        <v>118.8342857</v>
      </c>
    </row>
    <row r="130">
      <c r="A130" s="8" t="s">
        <v>221</v>
      </c>
      <c r="B130" s="9" t="s">
        <v>276</v>
      </c>
      <c r="C130" s="10" t="s">
        <v>277</v>
      </c>
      <c r="D130" s="11">
        <f>IFERROR((VLOOKUP(B130, Roccia!$B$2:$D997, 3, FALSE)*(1+Datos!$E$2)), "Revisar")</f>
        <v>423.684</v>
      </c>
      <c r="E130" s="11">
        <f>IFERROR(D130*Datos!$B$3, "Revisar")</f>
        <v>635.526</v>
      </c>
      <c r="F130" s="12">
        <f>IFERROR(E130*Datos!$B$1, "Revisar")</f>
        <v>367045.5627</v>
      </c>
      <c r="G130" s="13">
        <f>IFERROR((VLOOKUP(B130, Roccia!$B$2:$D997, 3, FALSE) /(1-Datos!$E$1)), "Revisar")</f>
        <v>504.3857143</v>
      </c>
      <c r="H130" s="13">
        <f>IFERROR(G130*Datos!$B$3, "Revisar")</f>
        <v>756.5785714</v>
      </c>
      <c r="I130" s="13">
        <f t="shared" si="1"/>
        <v>121.0525714</v>
      </c>
    </row>
    <row r="131">
      <c r="A131" s="8" t="s">
        <v>221</v>
      </c>
      <c r="B131" s="9" t="s">
        <v>278</v>
      </c>
      <c r="C131" s="10" t="s">
        <v>279</v>
      </c>
      <c r="D131" s="11">
        <f>IFERROR((VLOOKUP(B131, Roccia!$B$2:$D997, 3, FALSE)*(1+Datos!$E$2)), "Revisar")</f>
        <v>82.776</v>
      </c>
      <c r="E131" s="11">
        <f>IFERROR(D131*Datos!$B$3, "Revisar")</f>
        <v>124.164</v>
      </c>
      <c r="F131" s="12">
        <f>IFERROR(E131*Datos!$B$1, "Revisar")</f>
        <v>71710.43396</v>
      </c>
      <c r="G131" s="13">
        <f>IFERROR((VLOOKUP(B131, Roccia!$B$2:$D997, 3, FALSE) /(1-Datos!$E$1)), "Revisar")</f>
        <v>98.54285714</v>
      </c>
      <c r="H131" s="13">
        <f>IFERROR(G131*Datos!$B$3, "Revisar")</f>
        <v>147.8142857</v>
      </c>
      <c r="I131" s="13">
        <f t="shared" si="1"/>
        <v>23.65028571</v>
      </c>
    </row>
    <row r="132">
      <c r="A132" s="8" t="s">
        <v>221</v>
      </c>
      <c r="B132" s="9" t="s">
        <v>280</v>
      </c>
      <c r="C132" s="10" t="s">
        <v>281</v>
      </c>
      <c r="D132" s="11">
        <f>IFERROR((VLOOKUP(B132, Roccia!$B$2:$D997, 3, FALSE)*(1+Datos!$E$2)), "Revisar")</f>
        <v>4.704</v>
      </c>
      <c r="E132" s="11">
        <f>IFERROR(D132*Datos!$B$3, "Revisar")</f>
        <v>7.056</v>
      </c>
      <c r="F132" s="12">
        <f>IFERROR(E132*Datos!$B$1, "Revisar")</f>
        <v>4075.165282</v>
      </c>
      <c r="G132" s="13">
        <f>IFERROR((VLOOKUP(B132, Roccia!$B$2:$D997, 3, FALSE) /(1-Datos!$E$1)), "Revisar")</f>
        <v>5.6</v>
      </c>
      <c r="H132" s="13">
        <f>IFERROR(G132*Datos!$B$3, "Revisar")</f>
        <v>8.4</v>
      </c>
      <c r="I132" s="13">
        <f t="shared" si="1"/>
        <v>1.344</v>
      </c>
    </row>
    <row r="133">
      <c r="A133" s="8" t="s">
        <v>221</v>
      </c>
      <c r="B133" s="9" t="s">
        <v>282</v>
      </c>
      <c r="C133" s="10" t="s">
        <v>283</v>
      </c>
      <c r="D133" s="11">
        <f>IFERROR((VLOOKUP(B133, Roccia!$B$2:$D997, 3, FALSE)*(1+Datos!$E$2)), "Revisar")</f>
        <v>7.752</v>
      </c>
      <c r="E133" s="11">
        <f>IFERROR(D133*Datos!$B$3, "Revisar")</f>
        <v>11.628</v>
      </c>
      <c r="F133" s="12">
        <f>IFERROR(E133*Datos!$B$1, "Revisar")</f>
        <v>6715.706051</v>
      </c>
      <c r="G133" s="13">
        <f>IFERROR((VLOOKUP(B133, Roccia!$B$2:$D997, 3, FALSE) /(1-Datos!$E$1)), "Revisar")</f>
        <v>9.228571429</v>
      </c>
      <c r="H133" s="13">
        <f>IFERROR(G133*Datos!$B$3, "Revisar")</f>
        <v>13.84285714</v>
      </c>
      <c r="I133" s="13">
        <f t="shared" si="1"/>
        <v>2.214857143</v>
      </c>
    </row>
    <row r="134">
      <c r="A134" s="8" t="s">
        <v>221</v>
      </c>
      <c r="B134" s="9" t="s">
        <v>284</v>
      </c>
      <c r="C134" s="10" t="s">
        <v>285</v>
      </c>
      <c r="D134" s="11">
        <f>IFERROR((VLOOKUP(B134, Roccia!$B$2:$D997, 3, FALSE)*(1+Datos!$E$2)), "Revisar")</f>
        <v>61.044</v>
      </c>
      <c r="E134" s="11">
        <f>IFERROR(D134*Datos!$B$3, "Revisar")</f>
        <v>91.566</v>
      </c>
      <c r="F134" s="12">
        <f>IFERROR(E134*Datos!$B$1, "Revisar")</f>
        <v>52883.58619</v>
      </c>
      <c r="G134" s="13">
        <f>IFERROR((VLOOKUP(B134, Roccia!$B$2:$D997, 3, FALSE) /(1-Datos!$E$1)), "Revisar")</f>
        <v>72.67142857</v>
      </c>
      <c r="H134" s="13">
        <f>IFERROR(G134*Datos!$B$3, "Revisar")</f>
        <v>109.0071429</v>
      </c>
      <c r="I134" s="13">
        <f t="shared" si="1"/>
        <v>17.44114286</v>
      </c>
    </row>
    <row r="135">
      <c r="A135" s="8" t="s">
        <v>221</v>
      </c>
      <c r="B135" s="9" t="s">
        <v>286</v>
      </c>
      <c r="C135" s="10" t="s">
        <v>287</v>
      </c>
      <c r="D135" s="11">
        <f>IFERROR((VLOOKUP(B135, Roccia!$B$2:$D997, 3, FALSE)*(1+Datos!$E$2)), "Revisar")</f>
        <v>54.144</v>
      </c>
      <c r="E135" s="11">
        <f>IFERROR(D135*Datos!$B$3, "Revisar")</f>
        <v>81.216</v>
      </c>
      <c r="F135" s="12">
        <f>IFERROR(E135*Datos!$B$1, "Revisar")</f>
        <v>46905.98406</v>
      </c>
      <c r="G135" s="13">
        <f>IFERROR((VLOOKUP(B135, Roccia!$B$2:$D997, 3, FALSE) /(1-Datos!$E$1)), "Revisar")</f>
        <v>64.45714286</v>
      </c>
      <c r="H135" s="13">
        <f>IFERROR(G135*Datos!$B$3, "Revisar")</f>
        <v>96.68571429</v>
      </c>
      <c r="I135" s="13">
        <f t="shared" si="1"/>
        <v>15.46971429</v>
      </c>
    </row>
    <row r="136">
      <c r="A136" s="8" t="s">
        <v>221</v>
      </c>
      <c r="B136" s="9" t="s">
        <v>288</v>
      </c>
      <c r="C136" s="10" t="s">
        <v>289</v>
      </c>
      <c r="D136" s="11">
        <f>IFERROR((VLOOKUP(B136, Roccia!$B$2:$D997, 3, FALSE)*(1+Datos!$E$2)), "Revisar")</f>
        <v>6.684</v>
      </c>
      <c r="E136" s="11">
        <f>IFERROR(D136*Datos!$B$3, "Revisar")</f>
        <v>10.026</v>
      </c>
      <c r="F136" s="12">
        <f>IFERROR(E136*Datos!$B$1, "Revisar")</f>
        <v>5790.477199</v>
      </c>
      <c r="G136" s="13">
        <f>IFERROR((VLOOKUP(B136, Roccia!$B$2:$D997, 3, FALSE) /(1-Datos!$E$1)), "Revisar")</f>
        <v>7.957142857</v>
      </c>
      <c r="H136" s="13">
        <f>IFERROR(G136*Datos!$B$3, "Revisar")</f>
        <v>11.93571429</v>
      </c>
      <c r="I136" s="13">
        <f t="shared" si="1"/>
        <v>1.909714286</v>
      </c>
    </row>
    <row r="137">
      <c r="A137" s="8" t="s">
        <v>221</v>
      </c>
      <c r="B137" s="9" t="s">
        <v>290</v>
      </c>
      <c r="C137" s="10" t="s">
        <v>291</v>
      </c>
      <c r="D137" s="11">
        <f>IFERROR((VLOOKUP(B137, Roccia!$B$2:$D997, 3, FALSE)*(1+Datos!$E$2)), "Revisar")</f>
        <v>16.392</v>
      </c>
      <c r="E137" s="11">
        <f>IFERROR(D137*Datos!$B$3, "Revisar")</f>
        <v>24.588</v>
      </c>
      <c r="F137" s="12">
        <f>IFERROR(E137*Datos!$B$1, "Revisar")</f>
        <v>14200.70351</v>
      </c>
      <c r="G137" s="13">
        <f>IFERROR((VLOOKUP(B137, Roccia!$B$2:$D997, 3, FALSE) /(1-Datos!$E$1)), "Revisar")</f>
        <v>19.51428571</v>
      </c>
      <c r="H137" s="13">
        <f>IFERROR(G137*Datos!$B$3, "Revisar")</f>
        <v>29.27142857</v>
      </c>
      <c r="I137" s="13">
        <f t="shared" si="1"/>
        <v>4.683428571</v>
      </c>
    </row>
    <row r="138">
      <c r="A138" s="8" t="s">
        <v>221</v>
      </c>
      <c r="B138" s="9" t="s">
        <v>292</v>
      </c>
      <c r="C138" s="10" t="s">
        <v>293</v>
      </c>
      <c r="D138" s="11">
        <f>IFERROR((VLOOKUP(B138, Roccia!$B$2:$D997, 3, FALSE)*(1+Datos!$E$2)), "Revisar")</f>
        <v>10.8</v>
      </c>
      <c r="E138" s="11">
        <f>IFERROR(D138*Datos!$B$3, "Revisar")</f>
        <v>16.2</v>
      </c>
      <c r="F138" s="12">
        <f>IFERROR(E138*Datos!$B$1, "Revisar")</f>
        <v>9356.24682</v>
      </c>
      <c r="G138" s="13">
        <f>IFERROR((VLOOKUP(B138, Roccia!$B$2:$D997, 3, FALSE) /(1-Datos!$E$1)), "Revisar")</f>
        <v>12.85714286</v>
      </c>
      <c r="H138" s="13">
        <f>IFERROR(G138*Datos!$B$3, "Revisar")</f>
        <v>19.28571429</v>
      </c>
      <c r="I138" s="13">
        <f t="shared" si="1"/>
        <v>3.085714286</v>
      </c>
    </row>
    <row r="139">
      <c r="A139" s="8" t="s">
        <v>221</v>
      </c>
      <c r="B139" s="9" t="s">
        <v>294</v>
      </c>
      <c r="C139" s="10" t="s">
        <v>295</v>
      </c>
      <c r="D139" s="11">
        <f>IFERROR((VLOOKUP(B139, Roccia!$B$2:$D997, 3, FALSE)*(1+Datos!$E$2)), "Revisar")</f>
        <v>8.436</v>
      </c>
      <c r="E139" s="11">
        <f>IFERROR(D139*Datos!$B$3, "Revisar")</f>
        <v>12.654</v>
      </c>
      <c r="F139" s="12">
        <f>IFERROR(E139*Datos!$B$1, "Revisar")</f>
        <v>7308.268349</v>
      </c>
      <c r="G139" s="13">
        <f>IFERROR((VLOOKUP(B139, Roccia!$B$2:$D997, 3, FALSE) /(1-Datos!$E$1)), "Revisar")</f>
        <v>10.04285714</v>
      </c>
      <c r="H139" s="13">
        <f>IFERROR(G139*Datos!$B$3, "Revisar")</f>
        <v>15.06428571</v>
      </c>
      <c r="I139" s="13">
        <f t="shared" si="1"/>
        <v>2.410285714</v>
      </c>
    </row>
    <row r="140">
      <c r="A140" s="8" t="s">
        <v>221</v>
      </c>
      <c r="B140" s="9" t="s">
        <v>296</v>
      </c>
      <c r="C140" s="10" t="s">
        <v>297</v>
      </c>
      <c r="D140" s="11">
        <f>IFERROR((VLOOKUP(B140, Roccia!$B$2:$D997, 3, FALSE)*(1+Datos!$E$2)), "Revisar")</f>
        <v>8.76</v>
      </c>
      <c r="E140" s="11">
        <f>IFERROR(D140*Datos!$B$3, "Revisar")</f>
        <v>13.14</v>
      </c>
      <c r="F140" s="12">
        <f>IFERROR(E140*Datos!$B$1, "Revisar")</f>
        <v>7588.955754</v>
      </c>
      <c r="G140" s="13">
        <f>IFERROR((VLOOKUP(B140, Roccia!$B$2:$D997, 3, FALSE) /(1-Datos!$E$1)), "Revisar")</f>
        <v>10.42857143</v>
      </c>
      <c r="H140" s="13">
        <f>IFERROR(G140*Datos!$B$3, "Revisar")</f>
        <v>15.64285714</v>
      </c>
      <c r="I140" s="13">
        <f t="shared" si="1"/>
        <v>2.502857143</v>
      </c>
    </row>
    <row r="141">
      <c r="A141" s="8" t="s">
        <v>221</v>
      </c>
      <c r="B141" s="9" t="s">
        <v>298</v>
      </c>
      <c r="C141" s="10" t="s">
        <v>299</v>
      </c>
      <c r="D141" s="11">
        <f>IFERROR((VLOOKUP(B141, Roccia!$B$2:$D997, 3, FALSE)*(1+Datos!$E$2)), "Revisar")</f>
        <v>6.504</v>
      </c>
      <c r="E141" s="11">
        <f>IFERROR(D141*Datos!$B$3, "Revisar")</f>
        <v>9.756</v>
      </c>
      <c r="F141" s="12">
        <f>IFERROR(E141*Datos!$B$1, "Revisar")</f>
        <v>5634.539752</v>
      </c>
      <c r="G141" s="13">
        <f>IFERROR((VLOOKUP(B141, Roccia!$B$2:$D997, 3, FALSE) /(1-Datos!$E$1)), "Revisar")</f>
        <v>7.742857143</v>
      </c>
      <c r="H141" s="13">
        <f>IFERROR(G141*Datos!$B$3, "Revisar")</f>
        <v>11.61428571</v>
      </c>
      <c r="I141" s="13">
        <f t="shared" si="1"/>
        <v>1.858285714</v>
      </c>
    </row>
    <row r="142">
      <c r="A142" s="8" t="s">
        <v>221</v>
      </c>
      <c r="B142" s="9" t="s">
        <v>300</v>
      </c>
      <c r="C142" s="10" t="s">
        <v>301</v>
      </c>
      <c r="D142" s="11">
        <f>IFERROR((VLOOKUP(B142, Roccia!$B$2:$D997, 3, FALSE)*(1+Datos!$E$2)), "Revisar")</f>
        <v>198</v>
      </c>
      <c r="E142" s="11">
        <f>IFERROR(D142*Datos!$B$3, "Revisar")</f>
        <v>297</v>
      </c>
      <c r="F142" s="12">
        <f>IFERROR(E142*Datos!$B$1, "Revisar")</f>
        <v>171531.1917</v>
      </c>
      <c r="G142" s="13">
        <f>IFERROR((VLOOKUP(B142, Roccia!$B$2:$D997, 3, FALSE) /(1-Datos!$E$1)), "Revisar")</f>
        <v>235.7142857</v>
      </c>
      <c r="H142" s="13">
        <f>IFERROR(G142*Datos!$B$3, "Revisar")</f>
        <v>353.5714286</v>
      </c>
      <c r="I142" s="13">
        <f t="shared" si="1"/>
        <v>56.57142857</v>
      </c>
    </row>
    <row r="143">
      <c r="A143" s="8" t="s">
        <v>221</v>
      </c>
      <c r="B143" s="9" t="s">
        <v>302</v>
      </c>
      <c r="C143" s="10" t="s">
        <v>303</v>
      </c>
      <c r="D143" s="11">
        <f>IFERROR((VLOOKUP(B143, Roccia!$B$2:$D997, 3, FALSE)*(1+Datos!$E$2)), "Revisar")</f>
        <v>182.424</v>
      </c>
      <c r="E143" s="11">
        <f>IFERROR(D143*Datos!$B$3, "Revisar")</f>
        <v>273.636</v>
      </c>
      <c r="F143" s="12">
        <f>IFERROR(E143*Datos!$B$1, "Revisar")</f>
        <v>158037.4046</v>
      </c>
      <c r="G143" s="13">
        <f>IFERROR((VLOOKUP(B143, Roccia!$B$2:$D997, 3, FALSE) /(1-Datos!$E$1)), "Revisar")</f>
        <v>217.1714286</v>
      </c>
      <c r="H143" s="13">
        <f>IFERROR(G143*Datos!$B$3, "Revisar")</f>
        <v>325.7571429</v>
      </c>
      <c r="I143" s="13">
        <f t="shared" si="1"/>
        <v>52.12114286</v>
      </c>
    </row>
    <row r="144">
      <c r="A144" s="8" t="s">
        <v>221</v>
      </c>
      <c r="B144" s="9" t="s">
        <v>304</v>
      </c>
      <c r="C144" s="10" t="s">
        <v>305</v>
      </c>
      <c r="D144" s="11">
        <f>IFERROR((VLOOKUP(B144, Roccia!$B$2:$D997, 3, FALSE)*(1+Datos!$E$2)), "Revisar")</f>
        <v>243.408</v>
      </c>
      <c r="E144" s="11">
        <f>IFERROR(D144*Datos!$B$3, "Revisar")</f>
        <v>365.112</v>
      </c>
      <c r="F144" s="12">
        <f>IFERROR(E144*Datos!$B$1, "Revisar")</f>
        <v>210869.0117</v>
      </c>
      <c r="G144" s="13">
        <f>IFERROR((VLOOKUP(B144, Roccia!$B$2:$D997, 3, FALSE) /(1-Datos!$E$1)), "Revisar")</f>
        <v>289.7714286</v>
      </c>
      <c r="H144" s="13">
        <f>IFERROR(G144*Datos!$B$3, "Revisar")</f>
        <v>434.6571429</v>
      </c>
      <c r="I144" s="13">
        <f t="shared" si="1"/>
        <v>69.54514286</v>
      </c>
    </row>
    <row r="145">
      <c r="A145" s="8" t="s">
        <v>221</v>
      </c>
      <c r="B145" s="9" t="s">
        <v>306</v>
      </c>
      <c r="C145" s="10" t="s">
        <v>307</v>
      </c>
      <c r="D145" s="11">
        <f>IFERROR((VLOOKUP(B145, Roccia!$B$2:$D997, 3, FALSE)*(1+Datos!$E$2)), "Revisar")</f>
        <v>168.504</v>
      </c>
      <c r="E145" s="11">
        <f>IFERROR(D145*Datos!$B$3, "Revisar")</f>
        <v>252.756</v>
      </c>
      <c r="F145" s="12">
        <f>IFERROR(E145*Datos!$B$1, "Revisar")</f>
        <v>145978.2421</v>
      </c>
      <c r="G145" s="13">
        <f>IFERROR((VLOOKUP(B145, Roccia!$B$2:$D997, 3, FALSE) /(1-Datos!$E$1)), "Revisar")</f>
        <v>200.6</v>
      </c>
      <c r="H145" s="13">
        <f>IFERROR(G145*Datos!$B$3, "Revisar")</f>
        <v>300.9</v>
      </c>
      <c r="I145" s="13">
        <f t="shared" si="1"/>
        <v>48.144</v>
      </c>
    </row>
    <row r="146">
      <c r="A146" s="8" t="s">
        <v>221</v>
      </c>
      <c r="B146" s="9" t="s">
        <v>308</v>
      </c>
      <c r="C146" s="10" t="s">
        <v>309</v>
      </c>
      <c r="D146" s="11">
        <f>IFERROR((VLOOKUP(B146, Roccia!$B$2:$D997, 3, FALSE)*(1+Datos!$E$2)), "Revisar")</f>
        <v>747.888</v>
      </c>
      <c r="E146" s="11">
        <f>IFERROR(D146*Datos!$B$3, "Revisar")</f>
        <v>1121.832</v>
      </c>
      <c r="F146" s="12">
        <f>IFERROR(E146*Datos!$B$1, "Revisar")</f>
        <v>647909.6965</v>
      </c>
      <c r="G146" s="13">
        <f>IFERROR((VLOOKUP(B146, Roccia!$B$2:$D997, 3, FALSE) /(1-Datos!$E$1)), "Revisar")</f>
        <v>890.3428571</v>
      </c>
      <c r="H146" s="13">
        <f>IFERROR(G146*Datos!$B$3, "Revisar")</f>
        <v>1335.514286</v>
      </c>
      <c r="I146" s="13">
        <f t="shared" si="1"/>
        <v>213.6822857</v>
      </c>
    </row>
    <row r="147">
      <c r="A147" s="8" t="s">
        <v>221</v>
      </c>
      <c r="B147" s="9" t="s">
        <v>310</v>
      </c>
      <c r="C147" s="10" t="s">
        <v>311</v>
      </c>
      <c r="D147" s="11">
        <f>IFERROR((VLOOKUP(B147, Roccia!$B$2:$D997, 3, FALSE)*(1+Datos!$E$2)), "Revisar")</f>
        <v>327.672</v>
      </c>
      <c r="E147" s="11">
        <f>IFERROR(D147*Datos!$B$3, "Revisar")</f>
        <v>491.508</v>
      </c>
      <c r="F147" s="12">
        <f>IFERROR(E147*Datos!$B$1, "Revisar")</f>
        <v>283868.5285</v>
      </c>
      <c r="G147" s="13">
        <f>IFERROR((VLOOKUP(B147, Roccia!$B$2:$D997, 3, FALSE) /(1-Datos!$E$1)), "Revisar")</f>
        <v>390.0857143</v>
      </c>
      <c r="H147" s="13">
        <f>IFERROR(G147*Datos!$B$3, "Revisar")</f>
        <v>585.1285714</v>
      </c>
      <c r="I147" s="13">
        <f t="shared" si="1"/>
        <v>93.62057143</v>
      </c>
    </row>
    <row r="148">
      <c r="A148" s="8" t="s">
        <v>221</v>
      </c>
      <c r="B148" s="9" t="s">
        <v>312</v>
      </c>
      <c r="C148" s="10" t="s">
        <v>313</v>
      </c>
      <c r="D148" s="11">
        <f>IFERROR((VLOOKUP(B148, Roccia!$B$2:$D997, 3, FALSE)*(1+Datos!$E$2)), "Revisar")</f>
        <v>17.892</v>
      </c>
      <c r="E148" s="11">
        <f>IFERROR(D148*Datos!$B$3, "Revisar")</f>
        <v>26.838</v>
      </c>
      <c r="F148" s="12">
        <f>IFERROR(E148*Datos!$B$1, "Revisar")</f>
        <v>15500.18223</v>
      </c>
      <c r="G148" s="13">
        <f>IFERROR((VLOOKUP(B148, Roccia!$B$2:$D997, 3, FALSE) /(1-Datos!$E$1)), "Revisar")</f>
        <v>21.3</v>
      </c>
      <c r="H148" s="13">
        <f>IFERROR(G148*Datos!$B$3, "Revisar")</f>
        <v>31.95</v>
      </c>
      <c r="I148" s="13">
        <f t="shared" si="1"/>
        <v>5.112</v>
      </c>
    </row>
    <row r="149">
      <c r="A149" s="8" t="s">
        <v>221</v>
      </c>
      <c r="B149" s="9" t="s">
        <v>314</v>
      </c>
      <c r="C149" s="10" t="s">
        <v>315</v>
      </c>
      <c r="D149" s="11">
        <f>IFERROR((VLOOKUP(B149, Roccia!$B$2:$D997, 3, FALSE)*(1+Datos!$E$2)), "Revisar")</f>
        <v>29.976</v>
      </c>
      <c r="E149" s="11">
        <f>IFERROR(D149*Datos!$B$3, "Revisar")</f>
        <v>44.964</v>
      </c>
      <c r="F149" s="12">
        <f>IFERROR(E149*Datos!$B$1, "Revisar")</f>
        <v>25968.78284</v>
      </c>
      <c r="G149" s="13">
        <f>IFERROR((VLOOKUP(B149, Roccia!$B$2:$D997, 3, FALSE) /(1-Datos!$E$1)), "Revisar")</f>
        <v>35.68571429</v>
      </c>
      <c r="H149" s="13">
        <f>IFERROR(G149*Datos!$B$3, "Revisar")</f>
        <v>53.52857143</v>
      </c>
      <c r="I149" s="13">
        <f t="shared" si="1"/>
        <v>8.564571429</v>
      </c>
    </row>
    <row r="150">
      <c r="A150" s="8" t="s">
        <v>221</v>
      </c>
      <c r="B150" s="9" t="s">
        <v>316</v>
      </c>
      <c r="C150" s="10" t="s">
        <v>317</v>
      </c>
      <c r="D150" s="11">
        <f>IFERROR((VLOOKUP(B150, Roccia!$B$2:$D997, 3, FALSE)*(1+Datos!$E$2)), "Revisar")</f>
        <v>885.864</v>
      </c>
      <c r="E150" s="11">
        <f>IFERROR(D150*Datos!$B$3, "Revisar")</f>
        <v>1328.796</v>
      </c>
      <c r="F150" s="12">
        <f>IFERROR(E150*Datos!$B$1, "Revisar")</f>
        <v>767440.9475</v>
      </c>
      <c r="G150" s="13">
        <f>IFERROR((VLOOKUP(B150, Roccia!$B$2:$D997, 3, FALSE) /(1-Datos!$E$1)), "Revisar")</f>
        <v>1054.6</v>
      </c>
      <c r="H150" s="13">
        <f>IFERROR(G150*Datos!$B$3, "Revisar")</f>
        <v>1581.9</v>
      </c>
      <c r="I150" s="13">
        <f t="shared" si="1"/>
        <v>253.104</v>
      </c>
    </row>
    <row r="151">
      <c r="A151" s="8" t="s">
        <v>221</v>
      </c>
      <c r="B151" s="9" t="s">
        <v>318</v>
      </c>
      <c r="C151" s="10" t="s">
        <v>319</v>
      </c>
      <c r="D151" s="11">
        <f>IFERROR((VLOOKUP(B151, Roccia!$B$2:$D997, 3, FALSE)*(1+Datos!$E$2)), "Revisar")</f>
        <v>1298.856</v>
      </c>
      <c r="E151" s="11">
        <f>IFERROR(D151*Datos!$B$3, "Revisar")</f>
        <v>1948.284</v>
      </c>
      <c r="F151" s="12">
        <f>IFERROR(E151*Datos!$B$1, "Revisar")</f>
        <v>1125223.826</v>
      </c>
      <c r="G151" s="13">
        <f>IFERROR((VLOOKUP(B151, Roccia!$B$2:$D997, 3, FALSE) /(1-Datos!$E$1)), "Revisar")</f>
        <v>1546.257143</v>
      </c>
      <c r="H151" s="13">
        <f>IFERROR(G151*Datos!$B$3, "Revisar")</f>
        <v>2319.385714</v>
      </c>
      <c r="I151" s="13">
        <f t="shared" si="1"/>
        <v>371.1017143</v>
      </c>
    </row>
    <row r="152">
      <c r="A152" s="8" t="s">
        <v>221</v>
      </c>
      <c r="B152" s="9" t="s">
        <v>320</v>
      </c>
      <c r="C152" s="10" t="s">
        <v>321</v>
      </c>
      <c r="D152" s="11">
        <f>IFERROR((VLOOKUP(B152, Roccia!$B$2:$D997, 3, FALSE)*(1+Datos!$E$2)), "Revisar")</f>
        <v>60.108</v>
      </c>
      <c r="E152" s="11">
        <f>IFERROR(D152*Datos!$B$3, "Revisar")</f>
        <v>90.162</v>
      </c>
      <c r="F152" s="12">
        <f>IFERROR(E152*Datos!$B$1, "Revisar")</f>
        <v>52072.71147</v>
      </c>
      <c r="G152" s="13">
        <f>IFERROR((VLOOKUP(B152, Roccia!$B$2:$D997, 3, FALSE) /(1-Datos!$E$1)), "Revisar")</f>
        <v>71.55714286</v>
      </c>
      <c r="H152" s="13">
        <f>IFERROR(G152*Datos!$B$3, "Revisar")</f>
        <v>107.3357143</v>
      </c>
      <c r="I152" s="13">
        <f t="shared" si="1"/>
        <v>17.17371429</v>
      </c>
    </row>
    <row r="153">
      <c r="A153" s="8" t="s">
        <v>221</v>
      </c>
      <c r="B153" s="9" t="s">
        <v>322</v>
      </c>
      <c r="C153" s="10" t="s">
        <v>323</v>
      </c>
      <c r="D153" s="11">
        <f>IFERROR((VLOOKUP(B153, Roccia!$B$2:$D997, 3, FALSE)*(1+Datos!$E$2)), "Revisar")</f>
        <v>111.42</v>
      </c>
      <c r="E153" s="11">
        <f>IFERROR(D153*Datos!$B$3, "Revisar")</f>
        <v>167.13</v>
      </c>
      <c r="F153" s="12">
        <f>IFERROR(E153*Datos!$B$1, "Revisar")</f>
        <v>96525.27969</v>
      </c>
      <c r="G153" s="13">
        <f>IFERROR((VLOOKUP(B153, Roccia!$B$2:$D997, 3, FALSE) /(1-Datos!$E$1)), "Revisar")</f>
        <v>132.6428571</v>
      </c>
      <c r="H153" s="13">
        <f>IFERROR(G153*Datos!$B$3, "Revisar")</f>
        <v>198.9642857</v>
      </c>
      <c r="I153" s="13">
        <f t="shared" si="1"/>
        <v>31.83428571</v>
      </c>
    </row>
    <row r="154">
      <c r="A154" s="8" t="s">
        <v>221</v>
      </c>
      <c r="B154" s="9" t="s">
        <v>324</v>
      </c>
      <c r="C154" s="10" t="s">
        <v>325</v>
      </c>
      <c r="D154" s="11">
        <f>IFERROR((VLOOKUP(B154, Roccia!$B$2:$D997, 3, FALSE)*(1+Datos!$E$2)), "Revisar")</f>
        <v>152.1</v>
      </c>
      <c r="E154" s="11">
        <f>IFERROR(D154*Datos!$B$3, "Revisar")</f>
        <v>228.15</v>
      </c>
      <c r="F154" s="12">
        <f>IFERROR(E154*Datos!$B$1, "Revisar")</f>
        <v>131767.1427</v>
      </c>
      <c r="G154" s="13">
        <f>IFERROR((VLOOKUP(B154, Roccia!$B$2:$D997, 3, FALSE) /(1-Datos!$E$1)), "Revisar")</f>
        <v>181.0714286</v>
      </c>
      <c r="H154" s="13">
        <f>IFERROR(G154*Datos!$B$3, "Revisar")</f>
        <v>271.6071429</v>
      </c>
      <c r="I154" s="13">
        <f t="shared" si="1"/>
        <v>43.45714286</v>
      </c>
    </row>
    <row r="155">
      <c r="A155" s="8" t="s">
        <v>221</v>
      </c>
      <c r="B155" s="9" t="s">
        <v>326</v>
      </c>
      <c r="C155" s="10" t="s">
        <v>327</v>
      </c>
      <c r="D155" s="11">
        <f>IFERROR((VLOOKUP(B155, Roccia!$B$2:$D997, 3, FALSE)*(1+Datos!$E$2)), "Revisar")</f>
        <v>33.24</v>
      </c>
      <c r="E155" s="11">
        <f>IFERROR(D155*Datos!$B$3, "Revisar")</f>
        <v>49.86</v>
      </c>
      <c r="F155" s="12">
        <f>IFERROR(E155*Datos!$B$1, "Revisar")</f>
        <v>28796.44855</v>
      </c>
      <c r="G155" s="13">
        <f>IFERROR((VLOOKUP(B155, Roccia!$B$2:$D997, 3, FALSE) /(1-Datos!$E$1)), "Revisar")</f>
        <v>39.57142857</v>
      </c>
      <c r="H155" s="13">
        <f>IFERROR(G155*Datos!$B$3, "Revisar")</f>
        <v>59.35714286</v>
      </c>
      <c r="I155" s="13">
        <f t="shared" si="1"/>
        <v>9.497142857</v>
      </c>
    </row>
    <row r="156">
      <c r="A156" s="8" t="s">
        <v>221</v>
      </c>
      <c r="B156" s="9" t="s">
        <v>328</v>
      </c>
      <c r="C156" s="10" t="s">
        <v>329</v>
      </c>
      <c r="D156" s="11">
        <f>IFERROR((VLOOKUP(B156, Roccia!$B$2:$D997, 3, FALSE)*(1+Datos!$E$2)), "Revisar")</f>
        <v>67.392</v>
      </c>
      <c r="E156" s="11">
        <f>IFERROR(D156*Datos!$B$3, "Revisar")</f>
        <v>101.088</v>
      </c>
      <c r="F156" s="12">
        <f>IFERROR(E156*Datos!$B$1, "Revisar")</f>
        <v>58382.98016</v>
      </c>
      <c r="G156" s="13">
        <f>IFERROR((VLOOKUP(B156, Roccia!$B$2:$D997, 3, FALSE) /(1-Datos!$E$1)), "Revisar")</f>
        <v>80.22857143</v>
      </c>
      <c r="H156" s="13">
        <f>IFERROR(G156*Datos!$B$3, "Revisar")</f>
        <v>120.3428571</v>
      </c>
      <c r="I156" s="13">
        <f t="shared" si="1"/>
        <v>19.25485714</v>
      </c>
    </row>
    <row r="157">
      <c r="A157" s="8" t="s">
        <v>221</v>
      </c>
      <c r="B157" s="9" t="s">
        <v>330</v>
      </c>
      <c r="C157" s="10" t="s">
        <v>331</v>
      </c>
      <c r="D157" s="11">
        <f>IFERROR((VLOOKUP(B157, Roccia!$B$2:$D997, 3, FALSE)*(1+Datos!$E$2)), "Revisar")</f>
        <v>19.008</v>
      </c>
      <c r="E157" s="11">
        <f>IFERROR(D157*Datos!$B$3, "Revisar")</f>
        <v>28.512</v>
      </c>
      <c r="F157" s="12">
        <f>IFERROR(E157*Datos!$B$1, "Revisar")</f>
        <v>16466.9944</v>
      </c>
      <c r="G157" s="13">
        <f>IFERROR((VLOOKUP(B157, Roccia!$B$2:$D997, 3, FALSE) /(1-Datos!$E$1)), "Revisar")</f>
        <v>22.62857143</v>
      </c>
      <c r="H157" s="13">
        <f>IFERROR(G157*Datos!$B$3, "Revisar")</f>
        <v>33.94285714</v>
      </c>
      <c r="I157" s="13">
        <f t="shared" si="1"/>
        <v>5.430857143</v>
      </c>
    </row>
    <row r="158">
      <c r="A158" s="8" t="s">
        <v>221</v>
      </c>
      <c r="B158" s="9" t="s">
        <v>332</v>
      </c>
      <c r="C158" s="10" t="s">
        <v>333</v>
      </c>
      <c r="D158" s="11">
        <f>IFERROR((VLOOKUP(B158, Roccia!$B$2:$D997, 3, FALSE)*(1+Datos!$E$2)), "Revisar")</f>
        <v>144.18</v>
      </c>
      <c r="E158" s="11">
        <f>IFERROR(D158*Datos!$B$3, "Revisar")</f>
        <v>216.27</v>
      </c>
      <c r="F158" s="12">
        <f>IFERROR(E158*Datos!$B$1, "Revisar")</f>
        <v>124905.895</v>
      </c>
      <c r="G158" s="13">
        <f>IFERROR((VLOOKUP(B158, Roccia!$B$2:$D997, 3, FALSE) /(1-Datos!$E$1)), "Revisar")</f>
        <v>171.6428571</v>
      </c>
      <c r="H158" s="13">
        <f>IFERROR(G158*Datos!$B$3, "Revisar")</f>
        <v>257.4642857</v>
      </c>
      <c r="I158" s="13">
        <f t="shared" si="1"/>
        <v>41.19428571</v>
      </c>
    </row>
    <row r="159">
      <c r="A159" s="8" t="s">
        <v>221</v>
      </c>
      <c r="B159" s="9" t="s">
        <v>334</v>
      </c>
      <c r="C159" s="10" t="s">
        <v>335</v>
      </c>
      <c r="D159" s="11">
        <f>IFERROR((VLOOKUP(B159, Roccia!$B$2:$D997, 3, FALSE)*(1+Datos!$E$2)), "Revisar")</f>
        <v>235.536</v>
      </c>
      <c r="E159" s="11">
        <f>IFERROR(D159*Datos!$B$3, "Revisar")</f>
        <v>353.304</v>
      </c>
      <c r="F159" s="12">
        <f>IFERROR(E159*Datos!$B$1, "Revisar")</f>
        <v>204049.3473</v>
      </c>
      <c r="G159" s="13">
        <f>IFERROR((VLOOKUP(B159, Roccia!$B$2:$D997, 3, FALSE) /(1-Datos!$E$1)), "Revisar")</f>
        <v>280.4</v>
      </c>
      <c r="H159" s="13">
        <f>IFERROR(G159*Datos!$B$3, "Revisar")</f>
        <v>420.6</v>
      </c>
      <c r="I159" s="13">
        <f t="shared" si="1"/>
        <v>67.296</v>
      </c>
    </row>
    <row r="160">
      <c r="A160" s="8" t="s">
        <v>221</v>
      </c>
      <c r="B160" s="9" t="s">
        <v>336</v>
      </c>
      <c r="C160" s="10" t="s">
        <v>337</v>
      </c>
      <c r="D160" s="11">
        <f>IFERROR((VLOOKUP(B160, Roccia!$B$2:$D997, 3, FALSE)*(1+Datos!$E$2)), "Revisar")</f>
        <v>262.308</v>
      </c>
      <c r="E160" s="11">
        <f>IFERROR(D160*Datos!$B$3, "Revisar")</f>
        <v>393.462</v>
      </c>
      <c r="F160" s="12">
        <f>IFERROR(E160*Datos!$B$1, "Revisar")</f>
        <v>227242.4436</v>
      </c>
      <c r="G160" s="13">
        <f>IFERROR((VLOOKUP(B160, Roccia!$B$2:$D997, 3, FALSE) /(1-Datos!$E$1)), "Revisar")</f>
        <v>312.2714286</v>
      </c>
      <c r="H160" s="13">
        <f>IFERROR(G160*Datos!$B$3, "Revisar")</f>
        <v>468.4071429</v>
      </c>
      <c r="I160" s="13">
        <f t="shared" si="1"/>
        <v>74.94514286</v>
      </c>
    </row>
    <row r="161">
      <c r="A161" s="8" t="s">
        <v>221</v>
      </c>
      <c r="B161" s="9" t="s">
        <v>338</v>
      </c>
      <c r="C161" s="10" t="s">
        <v>339</v>
      </c>
      <c r="D161" s="11">
        <f>IFERROR((VLOOKUP(B161, Roccia!$B$2:$D997, 3, FALSE)*(1+Datos!$E$2)), "Revisar")</f>
        <v>199.404</v>
      </c>
      <c r="E161" s="11">
        <f>IFERROR(D161*Datos!$B$3, "Revisar")</f>
        <v>299.106</v>
      </c>
      <c r="F161" s="12">
        <f>IFERROR(E161*Datos!$B$1, "Revisar")</f>
        <v>172747.5038</v>
      </c>
      <c r="G161" s="13">
        <f>IFERROR((VLOOKUP(B161, Roccia!$B$2:$D997, 3, FALSE) /(1-Datos!$E$1)), "Revisar")</f>
        <v>237.3857143</v>
      </c>
      <c r="H161" s="13">
        <f>IFERROR(G161*Datos!$B$3, "Revisar")</f>
        <v>356.0785714</v>
      </c>
      <c r="I161" s="13">
        <f t="shared" si="1"/>
        <v>56.97257143</v>
      </c>
    </row>
    <row r="162">
      <c r="A162" s="8" t="s">
        <v>221</v>
      </c>
      <c r="B162" s="9" t="s">
        <v>340</v>
      </c>
      <c r="C162" s="10" t="s">
        <v>341</v>
      </c>
      <c r="D162" s="11">
        <f>IFERROR((VLOOKUP(B162, Roccia!$B$2:$D997, 3, FALSE)*(1+Datos!$E$2)), "Revisar")</f>
        <v>355.812</v>
      </c>
      <c r="E162" s="11">
        <f>IFERROR(D162*Datos!$B$3, "Revisar")</f>
        <v>533.718</v>
      </c>
      <c r="F162" s="12">
        <f>IFERROR(E162*Datos!$B$1, "Revisar")</f>
        <v>308246.7494</v>
      </c>
      <c r="G162" s="13">
        <f>IFERROR((VLOOKUP(B162, Roccia!$B$2:$D997, 3, FALSE) /(1-Datos!$E$1)), "Revisar")</f>
        <v>423.5857143</v>
      </c>
      <c r="H162" s="13">
        <f>IFERROR(G162*Datos!$B$3, "Revisar")</f>
        <v>635.3785714</v>
      </c>
      <c r="I162" s="13">
        <f t="shared" si="1"/>
        <v>101.6605714</v>
      </c>
    </row>
    <row r="163">
      <c r="A163" s="8" t="s">
        <v>221</v>
      </c>
      <c r="B163" s="9" t="s">
        <v>342</v>
      </c>
      <c r="C163" s="10" t="s">
        <v>343</v>
      </c>
      <c r="D163" s="11">
        <f>IFERROR((VLOOKUP(B163, Roccia!$B$2:$D997, 3, FALSE)*(1+Datos!$E$2)), "Revisar")</f>
        <v>33.72</v>
      </c>
      <c r="E163" s="11">
        <f>IFERROR(D163*Datos!$B$3, "Revisar")</f>
        <v>50.58</v>
      </c>
      <c r="F163" s="12">
        <f>IFERROR(E163*Datos!$B$1, "Revisar")</f>
        <v>29212.28174</v>
      </c>
      <c r="G163" s="13">
        <f>IFERROR((VLOOKUP(B163, Roccia!$B$2:$D997, 3, FALSE) /(1-Datos!$E$1)), "Revisar")</f>
        <v>40.14285714</v>
      </c>
      <c r="H163" s="13">
        <f>IFERROR(G163*Datos!$B$3, "Revisar")</f>
        <v>60.21428571</v>
      </c>
      <c r="I163" s="13">
        <f t="shared" si="1"/>
        <v>9.634285714</v>
      </c>
    </row>
    <row r="164">
      <c r="A164" s="8" t="s">
        <v>221</v>
      </c>
      <c r="B164" s="9" t="s">
        <v>344</v>
      </c>
      <c r="C164" s="10" t="s">
        <v>345</v>
      </c>
      <c r="D164" s="11">
        <f>IFERROR((VLOOKUP(B164, Roccia!$B$2:$D997, 3, FALSE)*(1+Datos!$E$2)), "Revisar")</f>
        <v>47.712</v>
      </c>
      <c r="E164" s="11">
        <f>IFERROR(D164*Datos!$B$3, "Revisar")</f>
        <v>71.568</v>
      </c>
      <c r="F164" s="12">
        <f>IFERROR(E164*Datos!$B$1, "Revisar")</f>
        <v>41333.81928</v>
      </c>
      <c r="G164" s="13">
        <f>IFERROR((VLOOKUP(B164, Roccia!$B$2:$D997, 3, FALSE) /(1-Datos!$E$1)), "Revisar")</f>
        <v>56.8</v>
      </c>
      <c r="H164" s="13">
        <f>IFERROR(G164*Datos!$B$3, "Revisar")</f>
        <v>85.2</v>
      </c>
      <c r="I164" s="13">
        <f t="shared" si="1"/>
        <v>13.632</v>
      </c>
    </row>
    <row r="165">
      <c r="A165" s="8" t="s">
        <v>221</v>
      </c>
      <c r="B165" s="9" t="s">
        <v>346</v>
      </c>
      <c r="C165" s="10" t="s">
        <v>347</v>
      </c>
      <c r="D165" s="11">
        <f>IFERROR((VLOOKUP(B165, Roccia!$B$2:$D997, 3, FALSE)*(1+Datos!$E$2)), "Revisar")</f>
        <v>59.04</v>
      </c>
      <c r="E165" s="11">
        <f>IFERROR(D165*Datos!$B$3, "Revisar")</f>
        <v>88.56</v>
      </c>
      <c r="F165" s="12">
        <f>IFERROR(E165*Datos!$B$1, "Revisar")</f>
        <v>51147.48262</v>
      </c>
      <c r="G165" s="13">
        <f>IFERROR((VLOOKUP(B165, Roccia!$B$2:$D997, 3, FALSE) /(1-Datos!$E$1)), "Revisar")</f>
        <v>70.28571429</v>
      </c>
      <c r="H165" s="13">
        <f>IFERROR(G165*Datos!$B$3, "Revisar")</f>
        <v>105.4285714</v>
      </c>
      <c r="I165" s="13">
        <f t="shared" si="1"/>
        <v>16.86857143</v>
      </c>
    </row>
    <row r="166">
      <c r="A166" s="8" t="s">
        <v>221</v>
      </c>
      <c r="B166" s="9" t="s">
        <v>348</v>
      </c>
      <c r="C166" s="10" t="s">
        <v>349</v>
      </c>
      <c r="D166" s="11">
        <f>IFERROR((VLOOKUP(B166, Roccia!$B$2:$D997, 3, FALSE)*(1+Datos!$E$2)), "Revisar")</f>
        <v>11.604</v>
      </c>
      <c r="E166" s="11">
        <f>IFERROR(D166*Datos!$B$3, "Revisar")</f>
        <v>17.406</v>
      </c>
      <c r="F166" s="12">
        <f>IFERROR(E166*Datos!$B$1, "Revisar")</f>
        <v>10052.76742</v>
      </c>
      <c r="G166" s="13">
        <f>IFERROR((VLOOKUP(B166, Roccia!$B$2:$D997, 3, FALSE) /(1-Datos!$E$1)), "Revisar")</f>
        <v>13.81428571</v>
      </c>
      <c r="H166" s="13">
        <f>IFERROR(G166*Datos!$B$3, "Revisar")</f>
        <v>20.72142857</v>
      </c>
      <c r="I166" s="13">
        <f t="shared" si="1"/>
        <v>3.315428571</v>
      </c>
    </row>
    <row r="167">
      <c r="A167" s="8" t="s">
        <v>221</v>
      </c>
      <c r="B167" s="9" t="s">
        <v>350</v>
      </c>
      <c r="C167" s="10" t="s">
        <v>351</v>
      </c>
      <c r="D167" s="11">
        <f>IFERROR((VLOOKUP(B167, Roccia!$B$2:$D997, 3, FALSE)*(1+Datos!$E$2)), "Revisar")</f>
        <v>20.724</v>
      </c>
      <c r="E167" s="11">
        <f>IFERROR(D167*Datos!$B$3, "Revisar")</f>
        <v>31.086</v>
      </c>
      <c r="F167" s="12">
        <f>IFERROR(E167*Datos!$B$1, "Revisar")</f>
        <v>17953.59806</v>
      </c>
      <c r="G167" s="13">
        <f>IFERROR((VLOOKUP(B167, Roccia!$B$2:$D997, 3, FALSE) /(1-Datos!$E$1)), "Revisar")</f>
        <v>24.67142857</v>
      </c>
      <c r="H167" s="13">
        <f>IFERROR(G167*Datos!$B$3, "Revisar")</f>
        <v>37.00714286</v>
      </c>
      <c r="I167" s="13">
        <f t="shared" si="1"/>
        <v>5.921142857</v>
      </c>
    </row>
    <row r="168">
      <c r="A168" s="8" t="s">
        <v>221</v>
      </c>
      <c r="B168" s="9" t="s">
        <v>352</v>
      </c>
      <c r="C168" s="10" t="s">
        <v>353</v>
      </c>
      <c r="D168" s="11">
        <f>IFERROR((VLOOKUP(B168, Roccia!$B$2:$D997, 3, FALSE)*(1+Datos!$E$2)), "Revisar")</f>
        <v>35.256</v>
      </c>
      <c r="E168" s="11">
        <f>IFERROR(D168*Datos!$B$3, "Revisar")</f>
        <v>52.884</v>
      </c>
      <c r="F168" s="12">
        <f>IFERROR(E168*Datos!$B$1, "Revisar")</f>
        <v>30542.94795</v>
      </c>
      <c r="G168" s="13">
        <f>IFERROR((VLOOKUP(B168, Roccia!$B$2:$D997, 3, FALSE) /(1-Datos!$E$1)), "Revisar")</f>
        <v>41.97142857</v>
      </c>
      <c r="H168" s="13">
        <f>IFERROR(G168*Datos!$B$3, "Revisar")</f>
        <v>62.95714286</v>
      </c>
      <c r="I168" s="13">
        <f t="shared" si="1"/>
        <v>10.07314286</v>
      </c>
    </row>
    <row r="169">
      <c r="A169" s="8" t="s">
        <v>221</v>
      </c>
      <c r="B169" s="9" t="s">
        <v>354</v>
      </c>
      <c r="C169" s="10" t="s">
        <v>355</v>
      </c>
      <c r="D169" s="11">
        <f>IFERROR((VLOOKUP(B169, Roccia!$B$2:$D997, 3, FALSE)*(1+Datos!$E$2)), "Revisar")</f>
        <v>15.696</v>
      </c>
      <c r="E169" s="11">
        <f>IFERROR(D169*Datos!$B$3, "Revisar")</f>
        <v>23.544</v>
      </c>
      <c r="F169" s="12">
        <f>IFERROR(E169*Datos!$B$1, "Revisar")</f>
        <v>13597.74538</v>
      </c>
      <c r="G169" s="13">
        <f>IFERROR((VLOOKUP(B169, Roccia!$B$2:$D997, 3, FALSE) /(1-Datos!$E$1)), "Revisar")</f>
        <v>18.68571429</v>
      </c>
      <c r="H169" s="13">
        <f>IFERROR(G169*Datos!$B$3, "Revisar")</f>
        <v>28.02857143</v>
      </c>
      <c r="I169" s="13">
        <f t="shared" si="1"/>
        <v>4.484571429</v>
      </c>
    </row>
    <row r="170">
      <c r="A170" s="8" t="s">
        <v>221</v>
      </c>
      <c r="B170" s="9" t="s">
        <v>356</v>
      </c>
      <c r="C170" s="10" t="s">
        <v>357</v>
      </c>
      <c r="D170" s="11">
        <f>IFERROR((VLOOKUP(B170, Roccia!$B$2:$D997, 3, FALSE)*(1+Datos!$E$2)), "Revisar")</f>
        <v>38.136</v>
      </c>
      <c r="E170" s="11">
        <f>IFERROR(D170*Datos!$B$3, "Revisar")</f>
        <v>57.204</v>
      </c>
      <c r="F170" s="12">
        <f>IFERROR(E170*Datos!$B$1, "Revisar")</f>
        <v>33037.9471</v>
      </c>
      <c r="G170" s="13">
        <f>IFERROR((VLOOKUP(B170, Roccia!$B$2:$D997, 3, FALSE) /(1-Datos!$E$1)), "Revisar")</f>
        <v>45.4</v>
      </c>
      <c r="H170" s="13">
        <f>IFERROR(G170*Datos!$B$3, "Revisar")</f>
        <v>68.1</v>
      </c>
      <c r="I170" s="13">
        <f t="shared" si="1"/>
        <v>10.896</v>
      </c>
    </row>
    <row r="171">
      <c r="A171" s="8" t="s">
        <v>221</v>
      </c>
      <c r="B171" s="9" t="s">
        <v>358</v>
      </c>
      <c r="C171" s="10" t="s">
        <v>359</v>
      </c>
      <c r="D171" s="11">
        <f>IFERROR((VLOOKUP(B171, Roccia!$B$2:$D997, 3, FALSE)*(1+Datos!$E$2)), "Revisar")</f>
        <v>665.112</v>
      </c>
      <c r="E171" s="11">
        <f>IFERROR(D171*Datos!$B$3, "Revisar")</f>
        <v>997.668</v>
      </c>
      <c r="F171" s="12">
        <f>IFERROR(E171*Datos!$B$1, "Revisar")</f>
        <v>576199.2625</v>
      </c>
      <c r="G171" s="13">
        <f>IFERROR((VLOOKUP(B171, Roccia!$B$2:$D997, 3, FALSE) /(1-Datos!$E$1)), "Revisar")</f>
        <v>791.8</v>
      </c>
      <c r="H171" s="13">
        <f>IFERROR(G171*Datos!$B$3, "Revisar")</f>
        <v>1187.7</v>
      </c>
      <c r="I171" s="13">
        <f t="shared" si="1"/>
        <v>190.032</v>
      </c>
    </row>
    <row r="172">
      <c r="A172" s="8" t="s">
        <v>221</v>
      </c>
      <c r="B172" s="9" t="s">
        <v>360</v>
      </c>
      <c r="C172" s="10" t="s">
        <v>361</v>
      </c>
      <c r="D172" s="11">
        <f>IFERROR((VLOOKUP(B172, Roccia!$B$2:$D997, 3, FALSE)*(1+Datos!$E$2)), "Revisar")</f>
        <v>20.172</v>
      </c>
      <c r="E172" s="11">
        <f>IFERROR(D172*Datos!$B$3, "Revisar")</f>
        <v>30.258</v>
      </c>
      <c r="F172" s="12">
        <f>IFERROR(E172*Datos!$B$1, "Revisar")</f>
        <v>17475.38989</v>
      </c>
      <c r="G172" s="13">
        <f>IFERROR((VLOOKUP(B172, Roccia!$B$2:$D997, 3, FALSE) /(1-Datos!$E$1)), "Revisar")</f>
        <v>24.01428571</v>
      </c>
      <c r="H172" s="13">
        <f>IFERROR(G172*Datos!$B$3, "Revisar")</f>
        <v>36.02142857</v>
      </c>
      <c r="I172" s="13">
        <f t="shared" si="1"/>
        <v>5.763428571</v>
      </c>
    </row>
    <row r="173">
      <c r="A173" s="8" t="s">
        <v>221</v>
      </c>
      <c r="B173" s="9" t="s">
        <v>362</v>
      </c>
      <c r="C173" s="10" t="s">
        <v>363</v>
      </c>
      <c r="D173" s="11">
        <f>IFERROR((VLOOKUP(B173, Roccia!$B$2:$D997, 3, FALSE)*(1+Datos!$E$2)), "Revisar")</f>
        <v>8.112</v>
      </c>
      <c r="E173" s="11">
        <f>IFERROR(D173*Datos!$B$3, "Revisar")</f>
        <v>12.168</v>
      </c>
      <c r="F173" s="12">
        <f>IFERROR(E173*Datos!$B$1, "Revisar")</f>
        <v>7027.580945</v>
      </c>
      <c r="G173" s="13">
        <f>IFERROR((VLOOKUP(B173, Roccia!$B$2:$D997, 3, FALSE) /(1-Datos!$E$1)), "Revisar")</f>
        <v>9.657142857</v>
      </c>
      <c r="H173" s="13">
        <f>IFERROR(G173*Datos!$B$3, "Revisar")</f>
        <v>14.48571429</v>
      </c>
      <c r="I173" s="13">
        <f t="shared" si="1"/>
        <v>2.317714286</v>
      </c>
    </row>
    <row r="174">
      <c r="A174" s="8" t="s">
        <v>221</v>
      </c>
      <c r="B174" s="9" t="s">
        <v>364</v>
      </c>
      <c r="C174" s="10" t="s">
        <v>365</v>
      </c>
      <c r="D174" s="11">
        <f>IFERROR((VLOOKUP(B174, Roccia!$B$2:$D997, 3, FALSE)*(1+Datos!$E$2)), "Revisar")</f>
        <v>28.044</v>
      </c>
      <c r="E174" s="11">
        <f>IFERROR(D174*Datos!$B$3, "Revisar")</f>
        <v>42.066</v>
      </c>
      <c r="F174" s="12">
        <f>IFERROR(E174*Datos!$B$1, "Revisar")</f>
        <v>24295.05424</v>
      </c>
      <c r="G174" s="13">
        <f>IFERROR((VLOOKUP(B174, Roccia!$B$2:$D997, 3, FALSE) /(1-Datos!$E$1)), "Revisar")</f>
        <v>33.38571429</v>
      </c>
      <c r="H174" s="13">
        <f>IFERROR(G174*Datos!$B$3, "Revisar")</f>
        <v>50.07857143</v>
      </c>
      <c r="I174" s="13">
        <f t="shared" si="1"/>
        <v>8.012571429</v>
      </c>
    </row>
    <row r="175">
      <c r="A175" s="8" t="s">
        <v>221</v>
      </c>
      <c r="B175" s="9" t="s">
        <v>366</v>
      </c>
      <c r="C175" s="10" t="s">
        <v>367</v>
      </c>
      <c r="D175" s="11">
        <f>IFERROR((VLOOKUP(B175, Roccia!$B$2:$D997, 3, FALSE)*(1+Datos!$E$2)), "Revisar")</f>
        <v>108.48</v>
      </c>
      <c r="E175" s="11">
        <f>IFERROR(D175*Datos!$B$3, "Revisar")</f>
        <v>162.72</v>
      </c>
      <c r="F175" s="12">
        <f>IFERROR(E175*Datos!$B$1, "Revisar")</f>
        <v>93978.30139</v>
      </c>
      <c r="G175" s="13">
        <f>IFERROR((VLOOKUP(B175, Roccia!$B$2:$D997, 3, FALSE) /(1-Datos!$E$1)), "Revisar")</f>
        <v>129.1428571</v>
      </c>
      <c r="H175" s="13">
        <f>IFERROR(G175*Datos!$B$3, "Revisar")</f>
        <v>193.7142857</v>
      </c>
      <c r="I175" s="13">
        <f t="shared" si="1"/>
        <v>30.99428571</v>
      </c>
    </row>
    <row r="176">
      <c r="A176" s="8" t="s">
        <v>221</v>
      </c>
      <c r="B176" s="9" t="s">
        <v>368</v>
      </c>
      <c r="C176" s="10" t="s">
        <v>369</v>
      </c>
      <c r="D176" s="11">
        <f>IFERROR((VLOOKUP(B176, Roccia!$B$2:$D997, 3, FALSE)*(1+Datos!$E$2)), "Revisar")</f>
        <v>148.572</v>
      </c>
      <c r="E176" s="11">
        <f>IFERROR(D176*Datos!$B$3, "Revisar")</f>
        <v>222.858</v>
      </c>
      <c r="F176" s="12">
        <f>IFERROR(E176*Datos!$B$1, "Revisar")</f>
        <v>128710.7688</v>
      </c>
      <c r="G176" s="13">
        <f>IFERROR((VLOOKUP(B176, Roccia!$B$2:$D997, 3, FALSE) /(1-Datos!$E$1)), "Revisar")</f>
        <v>176.8714286</v>
      </c>
      <c r="H176" s="13">
        <f>IFERROR(G176*Datos!$B$3, "Revisar")</f>
        <v>265.3071429</v>
      </c>
      <c r="I176" s="13">
        <f t="shared" si="1"/>
        <v>42.44914286</v>
      </c>
    </row>
    <row r="177">
      <c r="A177" s="8" t="s">
        <v>221</v>
      </c>
      <c r="B177" s="9" t="s">
        <v>370</v>
      </c>
      <c r="C177" s="10" t="s">
        <v>371</v>
      </c>
      <c r="D177" s="11">
        <f>IFERROR((VLOOKUP(B177, Roccia!$B$2:$D997, 3, FALSE)*(1+Datos!$E$2)), "Revisar")</f>
        <v>294.876</v>
      </c>
      <c r="E177" s="11">
        <f>IFERROR(D177*Datos!$B$3, "Revisar")</f>
        <v>442.314</v>
      </c>
      <c r="F177" s="12">
        <f>IFERROR(E177*Datos!$B$1, "Revisar")</f>
        <v>255456.7257</v>
      </c>
      <c r="G177" s="13">
        <f>IFERROR((VLOOKUP(B177, Roccia!$B$2:$D997, 3, FALSE) /(1-Datos!$E$1)), "Revisar")</f>
        <v>351.0428571</v>
      </c>
      <c r="H177" s="13">
        <f>IFERROR(G177*Datos!$B$3, "Revisar")</f>
        <v>526.5642857</v>
      </c>
      <c r="I177" s="13">
        <f t="shared" si="1"/>
        <v>84.25028571</v>
      </c>
    </row>
    <row r="178">
      <c r="A178" s="8" t="s">
        <v>221</v>
      </c>
      <c r="B178" s="9" t="s">
        <v>372</v>
      </c>
      <c r="C178" s="10" t="s">
        <v>373</v>
      </c>
      <c r="D178" s="11">
        <f>IFERROR((VLOOKUP(B178, Roccia!$B$2:$D997, 3, FALSE)*(1+Datos!$E$2)), "Revisar")</f>
        <v>29.22</v>
      </c>
      <c r="E178" s="11">
        <f>IFERROR(D178*Datos!$B$3, "Revisar")</f>
        <v>43.83</v>
      </c>
      <c r="F178" s="12">
        <f>IFERROR(E178*Datos!$B$1, "Revisar")</f>
        <v>25313.84556</v>
      </c>
      <c r="G178" s="13">
        <f>IFERROR((VLOOKUP(B178, Roccia!$B$2:$D997, 3, FALSE) /(1-Datos!$E$1)), "Revisar")</f>
        <v>34.78571429</v>
      </c>
      <c r="H178" s="13">
        <f>IFERROR(G178*Datos!$B$3, "Revisar")</f>
        <v>52.17857143</v>
      </c>
      <c r="I178" s="13">
        <f t="shared" si="1"/>
        <v>8.348571429</v>
      </c>
    </row>
    <row r="179">
      <c r="A179" s="8" t="s">
        <v>221</v>
      </c>
      <c r="B179" s="9" t="s">
        <v>374</v>
      </c>
      <c r="C179" s="10" t="s">
        <v>375</v>
      </c>
      <c r="D179" s="11">
        <f>IFERROR((VLOOKUP(B179, Roccia!$B$2:$D997, 3, FALSE)*(1+Datos!$E$2)), "Revisar")</f>
        <v>31.188</v>
      </c>
      <c r="E179" s="11">
        <f>IFERROR(D179*Datos!$B$3, "Revisar")</f>
        <v>46.782</v>
      </c>
      <c r="F179" s="12">
        <f>IFERROR(E179*Datos!$B$1, "Revisar")</f>
        <v>27018.76165</v>
      </c>
      <c r="G179" s="13">
        <f>IFERROR((VLOOKUP(B179, Roccia!$B$2:$D997, 3, FALSE) /(1-Datos!$E$1)), "Revisar")</f>
        <v>37.12857143</v>
      </c>
      <c r="H179" s="13">
        <f>IFERROR(G179*Datos!$B$3, "Revisar")</f>
        <v>55.69285714</v>
      </c>
      <c r="I179" s="13">
        <f t="shared" si="1"/>
        <v>8.910857143</v>
      </c>
    </row>
    <row r="180">
      <c r="A180" s="8" t="s">
        <v>221</v>
      </c>
      <c r="B180" s="9" t="s">
        <v>376</v>
      </c>
      <c r="C180" s="10" t="s">
        <v>377</v>
      </c>
      <c r="D180" s="11">
        <f>IFERROR((VLOOKUP(B180, Roccia!$B$2:$D997, 3, FALSE)*(1+Datos!$E$2)), "Revisar")</f>
        <v>381.132</v>
      </c>
      <c r="E180" s="11">
        <f>IFERROR(D180*Datos!$B$3, "Revisar")</f>
        <v>571.698</v>
      </c>
      <c r="F180" s="12">
        <f>IFERROR(E180*Datos!$B$1, "Revisar")</f>
        <v>330181.9503</v>
      </c>
      <c r="G180" s="13">
        <f>IFERROR((VLOOKUP(B180, Roccia!$B$2:$D997, 3, FALSE) /(1-Datos!$E$1)), "Revisar")</f>
        <v>453.7285714</v>
      </c>
      <c r="H180" s="13">
        <f>IFERROR(G180*Datos!$B$3, "Revisar")</f>
        <v>680.5928571</v>
      </c>
      <c r="I180" s="13">
        <f t="shared" si="1"/>
        <v>108.8948571</v>
      </c>
    </row>
    <row r="181">
      <c r="A181" s="8" t="s">
        <v>221</v>
      </c>
      <c r="B181" s="9" t="s">
        <v>378</v>
      </c>
      <c r="C181" s="10" t="s">
        <v>379</v>
      </c>
      <c r="D181" s="11">
        <f>IFERROR((VLOOKUP(B181, Roccia!$B$2:$D997, 3, FALSE)*(1+Datos!$E$2)), "Revisar")</f>
        <v>28.608</v>
      </c>
      <c r="E181" s="11">
        <f>IFERROR(D181*Datos!$B$3, "Revisar")</f>
        <v>42.912</v>
      </c>
      <c r="F181" s="12">
        <f>IFERROR(E181*Datos!$B$1, "Revisar")</f>
        <v>24783.65824</v>
      </c>
      <c r="G181" s="13">
        <f>IFERROR((VLOOKUP(B181, Roccia!$B$2:$D997, 3, FALSE) /(1-Datos!$E$1)), "Revisar")</f>
        <v>34.05714286</v>
      </c>
      <c r="H181" s="13">
        <f>IFERROR(G181*Datos!$B$3, "Revisar")</f>
        <v>51.08571429</v>
      </c>
      <c r="I181" s="13">
        <f t="shared" si="1"/>
        <v>8.173714286</v>
      </c>
    </row>
    <row r="182">
      <c r="A182" s="8" t="s">
        <v>221</v>
      </c>
      <c r="B182" s="9" t="s">
        <v>380</v>
      </c>
      <c r="C182" s="10" t="s">
        <v>381</v>
      </c>
      <c r="D182" s="11">
        <f>IFERROR((VLOOKUP(B182, Roccia!$B$2:$D997, 3, FALSE)*(1+Datos!$E$2)), "Revisar")</f>
        <v>375.528</v>
      </c>
      <c r="E182" s="11">
        <f>IFERROR(D182*Datos!$B$3, "Revisar")</f>
        <v>563.292</v>
      </c>
      <c r="F182" s="12">
        <f>IFERROR(E182*Datos!$B$1, "Revisar")</f>
        <v>325327.0978</v>
      </c>
      <c r="G182" s="13">
        <f>IFERROR((VLOOKUP(B182, Roccia!$B$2:$D997, 3, FALSE) /(1-Datos!$E$1)), "Revisar")</f>
        <v>447.0571429</v>
      </c>
      <c r="H182" s="13">
        <f>IFERROR(G182*Datos!$B$3, "Revisar")</f>
        <v>670.5857143</v>
      </c>
      <c r="I182" s="13">
        <f t="shared" si="1"/>
        <v>107.2937143</v>
      </c>
    </row>
    <row r="183">
      <c r="A183" s="8" t="s">
        <v>221</v>
      </c>
      <c r="B183" s="9" t="s">
        <v>382</v>
      </c>
      <c r="C183" s="10" t="s">
        <v>383</v>
      </c>
      <c r="D183" s="11">
        <f>IFERROR((VLOOKUP(B183, Roccia!$B$2:$D997, 3, FALSE)*(1+Datos!$E$2)), "Revisar")</f>
        <v>230.016</v>
      </c>
      <c r="E183" s="11">
        <f>IFERROR(D183*Datos!$B$3, "Revisar")</f>
        <v>345.024</v>
      </c>
      <c r="F183" s="12">
        <f>IFERROR(E183*Datos!$B$1, "Revisar")</f>
        <v>199267.2656</v>
      </c>
      <c r="G183" s="13">
        <f>IFERROR((VLOOKUP(B183, Roccia!$B$2:$D997, 3, FALSE) /(1-Datos!$E$1)), "Revisar")</f>
        <v>273.8285714</v>
      </c>
      <c r="H183" s="13">
        <f>IFERROR(G183*Datos!$B$3, "Revisar")</f>
        <v>410.7428571</v>
      </c>
      <c r="I183" s="13">
        <f t="shared" si="1"/>
        <v>65.71885714</v>
      </c>
    </row>
    <row r="184">
      <c r="A184" s="8" t="s">
        <v>221</v>
      </c>
      <c r="B184" s="9" t="s">
        <v>384</v>
      </c>
      <c r="C184" s="10" t="s">
        <v>385</v>
      </c>
      <c r="D184" s="11">
        <f>IFERROR((VLOOKUP(B184, Roccia!$B$2:$D997, 3, FALSE)*(1+Datos!$E$2)), "Revisar")</f>
        <v>125.772</v>
      </c>
      <c r="E184" s="11">
        <f>IFERROR(D184*Datos!$B$3, "Revisar")</f>
        <v>188.658</v>
      </c>
      <c r="F184" s="12">
        <f>IFERROR(E184*Datos!$B$1, "Revisar")</f>
        <v>108958.6921</v>
      </c>
      <c r="G184" s="13">
        <f>IFERROR((VLOOKUP(B184, Roccia!$B$2:$D997, 3, FALSE) /(1-Datos!$E$1)), "Revisar")</f>
        <v>149.7285714</v>
      </c>
      <c r="H184" s="13">
        <f>IFERROR(G184*Datos!$B$3, "Revisar")</f>
        <v>224.5928571</v>
      </c>
      <c r="I184" s="13">
        <f t="shared" si="1"/>
        <v>35.93485714</v>
      </c>
    </row>
    <row r="185">
      <c r="A185" s="8" t="s">
        <v>221</v>
      </c>
      <c r="B185" s="9" t="s">
        <v>386</v>
      </c>
      <c r="C185" s="10" t="s">
        <v>387</v>
      </c>
      <c r="D185" s="11">
        <f>IFERROR((VLOOKUP(B185, Roccia!$B$2:$D997, 3, FALSE)*(1+Datos!$E$2)), "Revisar")</f>
        <v>179.544</v>
      </c>
      <c r="E185" s="11">
        <f>IFERROR(D185*Datos!$B$3, "Revisar")</f>
        <v>269.316</v>
      </c>
      <c r="F185" s="12">
        <f>IFERROR(E185*Datos!$B$1, "Revisar")</f>
        <v>155542.4055</v>
      </c>
      <c r="G185" s="13">
        <f>IFERROR((VLOOKUP(B185, Roccia!$B$2:$D997, 3, FALSE) /(1-Datos!$E$1)), "Revisar")</f>
        <v>213.7428571</v>
      </c>
      <c r="H185" s="13">
        <f>IFERROR(G185*Datos!$B$3, "Revisar")</f>
        <v>320.6142857</v>
      </c>
      <c r="I185" s="13">
        <f t="shared" si="1"/>
        <v>51.29828571</v>
      </c>
    </row>
    <row r="186">
      <c r="A186" s="8" t="s">
        <v>221</v>
      </c>
      <c r="B186" s="9" t="s">
        <v>388</v>
      </c>
      <c r="C186" s="10" t="s">
        <v>389</v>
      </c>
      <c r="D186" s="11">
        <f>IFERROR((VLOOKUP(B186, Roccia!$B$2:$D997, 3, FALSE)*(1+Datos!$E$2)), "Revisar")</f>
        <v>222.9</v>
      </c>
      <c r="E186" s="11">
        <f>IFERROR(D186*Datos!$B$3, "Revisar")</f>
        <v>334.35</v>
      </c>
      <c r="F186" s="12">
        <f>IFERROR(E186*Datos!$B$1, "Revisar")</f>
        <v>193102.5385</v>
      </c>
      <c r="G186" s="13">
        <f>IFERROR((VLOOKUP(B186, Roccia!$B$2:$D997, 3, FALSE) /(1-Datos!$E$1)), "Revisar")</f>
        <v>265.3571429</v>
      </c>
      <c r="H186" s="13">
        <f>IFERROR(G186*Datos!$B$3, "Revisar")</f>
        <v>398.0357143</v>
      </c>
      <c r="I186" s="13">
        <f t="shared" si="1"/>
        <v>63.68571429</v>
      </c>
    </row>
    <row r="187">
      <c r="A187" s="8" t="s">
        <v>221</v>
      </c>
      <c r="B187" s="9" t="s">
        <v>390</v>
      </c>
      <c r="C187" s="10" t="s">
        <v>391</v>
      </c>
      <c r="D187" s="11">
        <f>IFERROR((VLOOKUP(B187, Roccia!$B$2:$D997, 3, FALSE)*(1+Datos!$E$2)), "Revisar")</f>
        <v>101.748</v>
      </c>
      <c r="E187" s="11">
        <f>IFERROR(D187*Datos!$B$3, "Revisar")</f>
        <v>152.622</v>
      </c>
      <c r="F187" s="12">
        <f>IFERROR(E187*Datos!$B$1, "Revisar")</f>
        <v>88146.24087</v>
      </c>
      <c r="G187" s="13">
        <f>IFERROR((VLOOKUP(B187, Roccia!$B$2:$D997, 3, FALSE) /(1-Datos!$E$1)), "Revisar")</f>
        <v>121.1285714</v>
      </c>
      <c r="H187" s="13">
        <f>IFERROR(G187*Datos!$B$3, "Revisar")</f>
        <v>181.6928571</v>
      </c>
      <c r="I187" s="13">
        <f t="shared" si="1"/>
        <v>29.07085714</v>
      </c>
    </row>
    <row r="188">
      <c r="A188" s="8" t="s">
        <v>221</v>
      </c>
      <c r="B188" s="9" t="s">
        <v>392</v>
      </c>
      <c r="C188" s="10" t="s">
        <v>393</v>
      </c>
      <c r="D188" s="11">
        <f>IFERROR((VLOOKUP(B188, Roccia!$B$2:$D997, 3, FALSE)*(1+Datos!$E$2)), "Revisar")</f>
        <v>29.892</v>
      </c>
      <c r="E188" s="11">
        <f>IFERROR(D188*Datos!$B$3, "Revisar")</f>
        <v>44.838</v>
      </c>
      <c r="F188" s="12">
        <f>IFERROR(E188*Datos!$B$1, "Revisar")</f>
        <v>25896.01203</v>
      </c>
      <c r="G188" s="13">
        <f>IFERROR((VLOOKUP(B188, Roccia!$B$2:$D997, 3, FALSE) /(1-Datos!$E$1)), "Revisar")</f>
        <v>35.58571429</v>
      </c>
      <c r="H188" s="13">
        <f>IFERROR(G188*Datos!$B$3, "Revisar")</f>
        <v>53.37857143</v>
      </c>
      <c r="I188" s="13">
        <f t="shared" si="1"/>
        <v>8.540571429</v>
      </c>
    </row>
    <row r="189">
      <c r="A189" s="8" t="s">
        <v>221</v>
      </c>
      <c r="B189" s="9" t="s">
        <v>394</v>
      </c>
      <c r="C189" s="10" t="s">
        <v>395</v>
      </c>
      <c r="D189" s="11">
        <f>IFERROR((VLOOKUP(B189, Roccia!$B$2:$D997, 3, FALSE)*(1+Datos!$E$2)), "Revisar")</f>
        <v>152.796</v>
      </c>
      <c r="E189" s="11">
        <f>IFERROR(D189*Datos!$B$3, "Revisar")</f>
        <v>229.194</v>
      </c>
      <c r="F189" s="12">
        <f>IFERROR(E189*Datos!$B$1, "Revisar")</f>
        <v>132370.1008</v>
      </c>
      <c r="G189" s="13">
        <f>IFERROR((VLOOKUP(B189, Roccia!$B$2:$D997, 3, FALSE) /(1-Datos!$E$1)), "Revisar")</f>
        <v>181.9</v>
      </c>
      <c r="H189" s="13">
        <f>IFERROR(G189*Datos!$B$3, "Revisar")</f>
        <v>272.85</v>
      </c>
      <c r="I189" s="13">
        <f t="shared" si="1"/>
        <v>43.656</v>
      </c>
    </row>
    <row r="190">
      <c r="A190" s="8" t="s">
        <v>221</v>
      </c>
      <c r="B190" s="9" t="s">
        <v>396</v>
      </c>
      <c r="C190" s="10" t="s">
        <v>397</v>
      </c>
      <c r="D190" s="11">
        <f>IFERROR((VLOOKUP(B190, Roccia!$B$2:$D997, 3, FALSE)*(1+Datos!$E$2)), "Revisar")</f>
        <v>8.4</v>
      </c>
      <c r="E190" s="11">
        <f>IFERROR(D190*Datos!$B$3, "Revisar")</f>
        <v>12.6</v>
      </c>
      <c r="F190" s="12">
        <f>IFERROR(E190*Datos!$B$1, "Revisar")</f>
        <v>7277.08086</v>
      </c>
      <c r="G190" s="13">
        <f>IFERROR((VLOOKUP(B190, Roccia!$B$2:$D997, 3, FALSE) /(1-Datos!$E$1)), "Revisar")</f>
        <v>10</v>
      </c>
      <c r="H190" s="13">
        <f>IFERROR(G190*Datos!$B$3, "Revisar")</f>
        <v>15</v>
      </c>
      <c r="I190" s="13">
        <f t="shared" si="1"/>
        <v>2.4</v>
      </c>
    </row>
    <row r="191">
      <c r="A191" s="8" t="s">
        <v>221</v>
      </c>
      <c r="B191" s="9" t="s">
        <v>398</v>
      </c>
      <c r="C191" s="10" t="s">
        <v>399</v>
      </c>
      <c r="D191" s="11">
        <f>IFERROR((VLOOKUP(B191, Roccia!$B$2:$D997, 3, FALSE)*(1+Datos!$E$2)), "Revisar")</f>
        <v>46.764</v>
      </c>
      <c r="E191" s="11">
        <f>IFERROR(D191*Datos!$B$3, "Revisar")</f>
        <v>70.146</v>
      </c>
      <c r="F191" s="12">
        <f>IFERROR(E191*Datos!$B$1, "Revisar")</f>
        <v>40512.54873</v>
      </c>
      <c r="G191" s="13">
        <f>IFERROR((VLOOKUP(B191, Roccia!$B$2:$D997, 3, FALSE) /(1-Datos!$E$1)), "Revisar")</f>
        <v>55.67142857</v>
      </c>
      <c r="H191" s="13">
        <f>IFERROR(G191*Datos!$B$3, "Revisar")</f>
        <v>83.50714286</v>
      </c>
      <c r="I191" s="13">
        <f t="shared" si="1"/>
        <v>13.36114286</v>
      </c>
    </row>
    <row r="192">
      <c r="A192" s="8" t="s">
        <v>221</v>
      </c>
      <c r="B192" s="9" t="s">
        <v>400</v>
      </c>
      <c r="C192" s="10" t="s">
        <v>401</v>
      </c>
      <c r="D192" s="11">
        <f>IFERROR((VLOOKUP(B192, Roccia!$B$2:$D997, 3, FALSE)*(1+Datos!$E$2)), "Revisar")</f>
        <v>33.384</v>
      </c>
      <c r="E192" s="11">
        <f>IFERROR(D192*Datos!$B$3, "Revisar")</f>
        <v>50.076</v>
      </c>
      <c r="F192" s="12">
        <f>IFERROR(E192*Datos!$B$1, "Revisar")</f>
        <v>28921.1985</v>
      </c>
      <c r="G192" s="13">
        <f>IFERROR((VLOOKUP(B192, Roccia!$B$2:$D997, 3, FALSE) /(1-Datos!$E$1)), "Revisar")</f>
        <v>39.74285714</v>
      </c>
      <c r="H192" s="13">
        <f>IFERROR(G192*Datos!$B$3, "Revisar")</f>
        <v>59.61428571</v>
      </c>
      <c r="I192" s="13">
        <f t="shared" si="1"/>
        <v>9.538285714</v>
      </c>
    </row>
    <row r="193">
      <c r="A193" s="8" t="s">
        <v>221</v>
      </c>
      <c r="B193" s="9" t="s">
        <v>402</v>
      </c>
      <c r="C193" s="10" t="s">
        <v>403</v>
      </c>
      <c r="D193" s="11">
        <f>IFERROR((VLOOKUP(B193, Roccia!$B$2:$D997, 3, FALSE)*(1+Datos!$E$2)), "Revisar")</f>
        <v>46.008</v>
      </c>
      <c r="E193" s="11">
        <f>IFERROR(D193*Datos!$B$3, "Revisar")</f>
        <v>69.012</v>
      </c>
      <c r="F193" s="12">
        <f>IFERROR(E193*Datos!$B$1, "Revisar")</f>
        <v>39857.61145</v>
      </c>
      <c r="G193" s="13">
        <f>IFERROR((VLOOKUP(B193, Roccia!$B$2:$D997, 3, FALSE) /(1-Datos!$E$1)), "Revisar")</f>
        <v>54.77142857</v>
      </c>
      <c r="H193" s="13">
        <f>IFERROR(G193*Datos!$B$3, "Revisar")</f>
        <v>82.15714286</v>
      </c>
      <c r="I193" s="13">
        <f t="shared" si="1"/>
        <v>13.14514286</v>
      </c>
    </row>
    <row r="194">
      <c r="A194" s="8" t="s">
        <v>221</v>
      </c>
      <c r="B194" s="9" t="s">
        <v>404</v>
      </c>
      <c r="C194" s="10" t="s">
        <v>405</v>
      </c>
      <c r="D194" s="11">
        <f>IFERROR((VLOOKUP(B194, Roccia!$B$2:$D997, 3, FALSE)*(1+Datos!$E$2)), "Revisar")</f>
        <v>66.744</v>
      </c>
      <c r="E194" s="11">
        <f>IFERROR(D194*Datos!$B$3, "Revisar")</f>
        <v>100.116</v>
      </c>
      <c r="F194" s="12">
        <f>IFERROR(E194*Datos!$B$1, "Revisar")</f>
        <v>57821.60535</v>
      </c>
      <c r="G194" s="13">
        <f>IFERROR((VLOOKUP(B194, Roccia!$B$2:$D997, 3, FALSE) /(1-Datos!$E$1)), "Revisar")</f>
        <v>79.45714286</v>
      </c>
      <c r="H194" s="13">
        <f>IFERROR(G194*Datos!$B$3, "Revisar")</f>
        <v>119.1857143</v>
      </c>
      <c r="I194" s="13">
        <f t="shared" si="1"/>
        <v>19.06971429</v>
      </c>
    </row>
    <row r="195">
      <c r="A195" s="8" t="s">
        <v>221</v>
      </c>
      <c r="B195" s="9" t="s">
        <v>406</v>
      </c>
      <c r="C195" s="10" t="s">
        <v>407</v>
      </c>
      <c r="D195" s="11">
        <f>IFERROR((VLOOKUP(B195, Roccia!$B$2:$D997, 3, FALSE)*(1+Datos!$E$2)), "Revisar")</f>
        <v>377.076</v>
      </c>
      <c r="E195" s="11">
        <f>IFERROR(D195*Datos!$B$3, "Revisar")</f>
        <v>565.614</v>
      </c>
      <c r="F195" s="12">
        <f>IFERROR(E195*Datos!$B$1, "Revisar")</f>
        <v>326668.1598</v>
      </c>
      <c r="G195" s="13">
        <f>IFERROR((VLOOKUP(B195, Roccia!$B$2:$D997, 3, FALSE) /(1-Datos!$E$1)), "Revisar")</f>
        <v>448.9</v>
      </c>
      <c r="H195" s="13">
        <f>IFERROR(G195*Datos!$B$3, "Revisar")</f>
        <v>673.35</v>
      </c>
      <c r="I195" s="13">
        <f t="shared" si="1"/>
        <v>107.736</v>
      </c>
    </row>
    <row r="196">
      <c r="A196" s="8" t="s">
        <v>221</v>
      </c>
      <c r="B196" s="9" t="s">
        <v>408</v>
      </c>
      <c r="C196" s="10" t="s">
        <v>409</v>
      </c>
      <c r="D196" s="11">
        <f>IFERROR((VLOOKUP(B196, Roccia!$B$2:$D997, 3, FALSE)*(1+Datos!$E$2)), "Revisar")</f>
        <v>436.176</v>
      </c>
      <c r="E196" s="11">
        <f>IFERROR(D196*Datos!$B$3, "Revisar")</f>
        <v>654.264</v>
      </c>
      <c r="F196" s="12">
        <f>IFERROR(E196*Datos!$B$1, "Revisar")</f>
        <v>377867.6216</v>
      </c>
      <c r="G196" s="13">
        <f>IFERROR((VLOOKUP(B196, Roccia!$B$2:$D997, 3, FALSE) /(1-Datos!$E$1)), "Revisar")</f>
        <v>519.2571429</v>
      </c>
      <c r="H196" s="13">
        <f>IFERROR(G196*Datos!$B$3, "Revisar")</f>
        <v>778.8857143</v>
      </c>
      <c r="I196" s="13">
        <f t="shared" si="1"/>
        <v>124.6217143</v>
      </c>
    </row>
    <row r="197">
      <c r="A197" s="8" t="s">
        <v>221</v>
      </c>
      <c r="B197" s="9" t="s">
        <v>410</v>
      </c>
      <c r="C197" s="10" t="s">
        <v>411</v>
      </c>
      <c r="D197" s="11">
        <f>IFERROR((VLOOKUP(B197, Roccia!$B$2:$D997, 3, FALSE)*(1+Datos!$E$2)), "Revisar")</f>
        <v>264.924</v>
      </c>
      <c r="E197" s="11">
        <f>IFERROR(D197*Datos!$B$3, "Revisar")</f>
        <v>397.386</v>
      </c>
      <c r="F197" s="12">
        <f>IFERROR(E197*Datos!$B$1, "Revisar")</f>
        <v>229508.7345</v>
      </c>
      <c r="G197" s="13">
        <f>IFERROR((VLOOKUP(B197, Roccia!$B$2:$D997, 3, FALSE) /(1-Datos!$E$1)), "Revisar")</f>
        <v>315.3857143</v>
      </c>
      <c r="H197" s="13">
        <f>IFERROR(G197*Datos!$B$3, "Revisar")</f>
        <v>473.0785714</v>
      </c>
      <c r="I197" s="13">
        <f t="shared" si="1"/>
        <v>75.69257143</v>
      </c>
    </row>
    <row r="198">
      <c r="A198" s="8" t="s">
        <v>221</v>
      </c>
      <c r="B198" s="9" t="s">
        <v>412</v>
      </c>
      <c r="C198" s="10" t="s">
        <v>413</v>
      </c>
      <c r="D198" s="11">
        <f>IFERROR((VLOOKUP(B198, Roccia!$B$2:$D997, 3, FALSE)*(1+Datos!$E$2)), "Revisar")</f>
        <v>26.772</v>
      </c>
      <c r="E198" s="11">
        <f>IFERROR(D198*Datos!$B$3, "Revisar")</f>
        <v>40.158</v>
      </c>
      <c r="F198" s="12">
        <f>IFERROR(E198*Datos!$B$1, "Revisar")</f>
        <v>23193.09628</v>
      </c>
      <c r="G198" s="13">
        <f>IFERROR((VLOOKUP(B198, Roccia!$B$2:$D997, 3, FALSE) /(1-Datos!$E$1)), "Revisar")</f>
        <v>31.87142857</v>
      </c>
      <c r="H198" s="13">
        <f>IFERROR(G198*Datos!$B$3, "Revisar")</f>
        <v>47.80714286</v>
      </c>
      <c r="I198" s="13">
        <f t="shared" si="1"/>
        <v>7.649142857</v>
      </c>
    </row>
    <row r="199">
      <c r="A199" s="8" t="s">
        <v>221</v>
      </c>
      <c r="B199" s="9" t="s">
        <v>414</v>
      </c>
      <c r="C199" s="10" t="s">
        <v>415</v>
      </c>
      <c r="D199" s="11">
        <f>IFERROR((VLOOKUP(B199, Roccia!$B$2:$D997, 3, FALSE)*(1+Datos!$E$2)), "Revisar")</f>
        <v>34.956</v>
      </c>
      <c r="E199" s="11">
        <f>IFERROR(D199*Datos!$B$3, "Revisar")</f>
        <v>52.434</v>
      </c>
      <c r="F199" s="12">
        <f>IFERROR(E199*Datos!$B$1, "Revisar")</f>
        <v>30283.05221</v>
      </c>
      <c r="G199" s="13">
        <f>IFERROR((VLOOKUP(B199, Roccia!$B$2:$D997, 3, FALSE) /(1-Datos!$E$1)), "Revisar")</f>
        <v>41.61428571</v>
      </c>
      <c r="H199" s="13">
        <f>IFERROR(G199*Datos!$B$3, "Revisar")</f>
        <v>62.42142857</v>
      </c>
      <c r="I199" s="13">
        <f t="shared" si="1"/>
        <v>9.987428571</v>
      </c>
    </row>
    <row r="200">
      <c r="A200" s="8" t="s">
        <v>221</v>
      </c>
      <c r="B200" s="9" t="s">
        <v>416</v>
      </c>
      <c r="C200" s="10" t="s">
        <v>417</v>
      </c>
      <c r="D200" s="11">
        <f>IFERROR((VLOOKUP(B200, Roccia!$B$2:$D997, 3, FALSE)*(1+Datos!$E$2)), "Revisar")</f>
        <v>69.864</v>
      </c>
      <c r="E200" s="11">
        <f>IFERROR(D200*Datos!$B$3, "Revisar")</f>
        <v>104.796</v>
      </c>
      <c r="F200" s="12">
        <f>IFERROR(E200*Datos!$B$1, "Revisar")</f>
        <v>60524.5211</v>
      </c>
      <c r="G200" s="13">
        <f>IFERROR((VLOOKUP(B200, Roccia!$B$2:$D997, 3, FALSE) /(1-Datos!$E$1)), "Revisar")</f>
        <v>83.17142857</v>
      </c>
      <c r="H200" s="13">
        <f>IFERROR(G200*Datos!$B$3, "Revisar")</f>
        <v>124.7571429</v>
      </c>
      <c r="I200" s="13">
        <f t="shared" si="1"/>
        <v>19.96114286</v>
      </c>
    </row>
    <row r="201">
      <c r="A201" s="8" t="s">
        <v>221</v>
      </c>
      <c r="B201" s="9" t="s">
        <v>418</v>
      </c>
      <c r="C201" s="10" t="s">
        <v>419</v>
      </c>
      <c r="D201" s="11">
        <f>IFERROR((VLOOKUP(B201, Roccia!$B$2:$D997, 3, FALSE)*(1+Datos!$E$2)), "Revisar")</f>
        <v>239.4</v>
      </c>
      <c r="E201" s="11">
        <f>IFERROR(D201*Datos!$B$3, "Revisar")</f>
        <v>359.1</v>
      </c>
      <c r="F201" s="12">
        <f>IFERROR(E201*Datos!$B$1, "Revisar")</f>
        <v>207396.8045</v>
      </c>
      <c r="G201" s="13">
        <f>IFERROR((VLOOKUP(B201, Roccia!$B$2:$D997, 3, FALSE) /(1-Datos!$E$1)), "Revisar")</f>
        <v>285</v>
      </c>
      <c r="H201" s="13">
        <f>IFERROR(G201*Datos!$B$3, "Revisar")</f>
        <v>427.5</v>
      </c>
      <c r="I201" s="13">
        <f t="shared" si="1"/>
        <v>68.4</v>
      </c>
    </row>
    <row r="202">
      <c r="A202" s="8" t="s">
        <v>221</v>
      </c>
      <c r="B202" s="9" t="s">
        <v>420</v>
      </c>
      <c r="C202" s="10" t="s">
        <v>421</v>
      </c>
      <c r="D202" s="11">
        <f>IFERROR((VLOOKUP(B202, Roccia!$B$2:$D997, 3, FALSE)*(1+Datos!$E$2)), "Revisar")</f>
        <v>87.672</v>
      </c>
      <c r="E202" s="11">
        <f>IFERROR(D202*Datos!$B$3, "Revisar")</f>
        <v>131.508</v>
      </c>
      <c r="F202" s="12">
        <f>IFERROR(E202*Datos!$B$1, "Revisar")</f>
        <v>75951.93252</v>
      </c>
      <c r="G202" s="13">
        <f>IFERROR((VLOOKUP(B202, Roccia!$B$2:$D997, 3, FALSE) /(1-Datos!$E$1)), "Revisar")</f>
        <v>104.3714286</v>
      </c>
      <c r="H202" s="13">
        <f>IFERROR(G202*Datos!$B$3, "Revisar")</f>
        <v>156.5571429</v>
      </c>
      <c r="I202" s="13">
        <f t="shared" si="1"/>
        <v>25.04914286</v>
      </c>
    </row>
    <row r="203">
      <c r="A203" s="8" t="s">
        <v>221</v>
      </c>
      <c r="B203" s="9" t="s">
        <v>422</v>
      </c>
      <c r="C203" s="10" t="s">
        <v>423</v>
      </c>
      <c r="D203" s="11">
        <f>IFERROR((VLOOKUP(B203, Roccia!$B$2:$D997, 3, FALSE)*(1+Datos!$E$2)), "Revisar")</f>
        <v>31.908</v>
      </c>
      <c r="E203" s="11">
        <f>IFERROR(D203*Datos!$B$3, "Revisar")</f>
        <v>47.862</v>
      </c>
      <c r="F203" s="12">
        <f>IFERROR(E203*Datos!$B$1, "Revisar")</f>
        <v>27642.51144</v>
      </c>
      <c r="G203" s="13">
        <f>IFERROR((VLOOKUP(B203, Roccia!$B$2:$D997, 3, FALSE) /(1-Datos!$E$1)), "Revisar")</f>
        <v>37.98571429</v>
      </c>
      <c r="H203" s="13">
        <f>IFERROR(G203*Datos!$B$3, "Revisar")</f>
        <v>56.97857143</v>
      </c>
      <c r="I203" s="13">
        <f t="shared" si="1"/>
        <v>9.116571429</v>
      </c>
    </row>
    <row r="204">
      <c r="A204" s="8" t="s">
        <v>221</v>
      </c>
      <c r="B204" s="9" t="s">
        <v>424</v>
      </c>
      <c r="C204" s="10" t="s">
        <v>425</v>
      </c>
      <c r="D204" s="11">
        <f>IFERROR((VLOOKUP(B204, Roccia!$B$2:$D997, 3, FALSE)*(1+Datos!$E$2)), "Revisar")</f>
        <v>215.34</v>
      </c>
      <c r="E204" s="11">
        <f>IFERROR(D204*Datos!$B$3, "Revisar")</f>
        <v>323.01</v>
      </c>
      <c r="F204" s="12">
        <f>IFERROR(E204*Datos!$B$1, "Revisar")</f>
        <v>186553.1658</v>
      </c>
      <c r="G204" s="13">
        <f>IFERROR((VLOOKUP(B204, Roccia!$B$2:$D997, 3, FALSE) /(1-Datos!$E$1)), "Revisar")</f>
        <v>256.3571429</v>
      </c>
      <c r="H204" s="13">
        <f>IFERROR(G204*Datos!$B$3, "Revisar")</f>
        <v>384.5357143</v>
      </c>
      <c r="I204" s="13">
        <f t="shared" si="1"/>
        <v>61.52571429</v>
      </c>
    </row>
    <row r="205">
      <c r="A205" s="8" t="s">
        <v>221</v>
      </c>
      <c r="B205" s="9" t="s">
        <v>426</v>
      </c>
      <c r="C205" s="10" t="s">
        <v>427</v>
      </c>
      <c r="D205" s="11">
        <f>IFERROR((VLOOKUP(B205, Roccia!$B$2:$D997, 3, FALSE)*(1+Datos!$E$2)), "Revisar")</f>
        <v>240.456</v>
      </c>
      <c r="E205" s="11">
        <f>IFERROR(D205*Datos!$B$3, "Revisar")</f>
        <v>360.684</v>
      </c>
      <c r="F205" s="12">
        <f>IFERROR(E205*Datos!$B$1, "Revisar")</f>
        <v>208311.6375</v>
      </c>
      <c r="G205" s="13">
        <f>IFERROR((VLOOKUP(B205, Roccia!$B$2:$D997, 3, FALSE) /(1-Datos!$E$1)), "Revisar")</f>
        <v>286.2571429</v>
      </c>
      <c r="H205" s="13">
        <f>IFERROR(G205*Datos!$B$3, "Revisar")</f>
        <v>429.3857143</v>
      </c>
      <c r="I205" s="13">
        <f t="shared" si="1"/>
        <v>68.70171429</v>
      </c>
    </row>
    <row r="206">
      <c r="A206" s="8" t="s">
        <v>221</v>
      </c>
      <c r="B206" s="9" t="s">
        <v>428</v>
      </c>
      <c r="C206" s="10" t="s">
        <v>429</v>
      </c>
      <c r="D206" s="11">
        <f>IFERROR((VLOOKUP(B206, Roccia!$B$2:$D997, 3, FALSE)*(1+Datos!$E$2)), "Revisar")</f>
        <v>85.356</v>
      </c>
      <c r="E206" s="11">
        <f>IFERROR(D206*Datos!$B$3, "Revisar")</f>
        <v>128.034</v>
      </c>
      <c r="F206" s="12">
        <f>IFERROR(E206*Datos!$B$1, "Revisar")</f>
        <v>73945.53737</v>
      </c>
      <c r="G206" s="13">
        <f>IFERROR((VLOOKUP(B206, Roccia!$B$2:$D997, 3, FALSE) /(1-Datos!$E$1)), "Revisar")</f>
        <v>101.6142857</v>
      </c>
      <c r="H206" s="13">
        <f>IFERROR(G206*Datos!$B$3, "Revisar")</f>
        <v>152.4214286</v>
      </c>
      <c r="I206" s="13">
        <f t="shared" si="1"/>
        <v>24.38742857</v>
      </c>
    </row>
    <row r="207">
      <c r="A207" s="8" t="s">
        <v>221</v>
      </c>
      <c r="B207" s="9" t="s">
        <v>430</v>
      </c>
      <c r="C207" s="10" t="s">
        <v>431</v>
      </c>
      <c r="D207" s="11">
        <f>IFERROR((VLOOKUP(B207, Roccia!$B$2:$D997, 3, FALSE)*(1+Datos!$E$2)), "Revisar")</f>
        <v>77.916</v>
      </c>
      <c r="E207" s="11">
        <f>IFERROR(D207*Datos!$B$3, "Revisar")</f>
        <v>116.874</v>
      </c>
      <c r="F207" s="12">
        <f>IFERROR(E207*Datos!$B$1, "Revisar")</f>
        <v>67500.12289</v>
      </c>
      <c r="G207" s="13">
        <f>IFERROR((VLOOKUP(B207, Roccia!$B$2:$D997, 3, FALSE) /(1-Datos!$E$1)), "Revisar")</f>
        <v>92.75714286</v>
      </c>
      <c r="H207" s="13">
        <f>IFERROR(G207*Datos!$B$3, "Revisar")</f>
        <v>139.1357143</v>
      </c>
      <c r="I207" s="13">
        <f t="shared" si="1"/>
        <v>22.26171429</v>
      </c>
    </row>
    <row r="208">
      <c r="A208" s="8" t="s">
        <v>221</v>
      </c>
      <c r="B208" s="9" t="s">
        <v>432</v>
      </c>
      <c r="C208" s="10" t="s">
        <v>433</v>
      </c>
      <c r="D208" s="11">
        <f>IFERROR((VLOOKUP(B208, Roccia!$B$2:$D997, 3, FALSE)*(1+Datos!$E$2)), "Revisar")</f>
        <v>133.704</v>
      </c>
      <c r="E208" s="11">
        <f>IFERROR(D208*Datos!$B$3, "Revisar")</f>
        <v>200.556</v>
      </c>
      <c r="F208" s="12">
        <f>IFERROR(E208*Datos!$B$1, "Revisar")</f>
        <v>115830.3356</v>
      </c>
      <c r="G208" s="13">
        <f>IFERROR((VLOOKUP(B208, Roccia!$B$2:$D997, 3, FALSE) /(1-Datos!$E$1)), "Revisar")</f>
        <v>159.1714286</v>
      </c>
      <c r="H208" s="13">
        <f>IFERROR(G208*Datos!$B$3, "Revisar")</f>
        <v>238.7571429</v>
      </c>
      <c r="I208" s="13">
        <f t="shared" si="1"/>
        <v>38.20114286</v>
      </c>
    </row>
    <row r="209">
      <c r="A209" s="8" t="s">
        <v>221</v>
      </c>
      <c r="B209" s="9" t="s">
        <v>434</v>
      </c>
      <c r="C209" s="10" t="s">
        <v>435</v>
      </c>
      <c r="D209" s="11">
        <f>IFERROR((VLOOKUP(B209, Roccia!$B$2:$D997, 3, FALSE)*(1+Datos!$E$2)), "Revisar")</f>
        <v>163.908</v>
      </c>
      <c r="E209" s="11">
        <f>IFERROR(D209*Datos!$B$3, "Revisar")</f>
        <v>245.862</v>
      </c>
      <c r="F209" s="12">
        <f>IFERROR(E209*Datos!$B$1, "Revisar")</f>
        <v>141996.6392</v>
      </c>
      <c r="G209" s="13">
        <f>IFERROR((VLOOKUP(B209, Roccia!$B$2:$D997, 3, FALSE) /(1-Datos!$E$1)), "Revisar")</f>
        <v>195.1285714</v>
      </c>
      <c r="H209" s="13">
        <f>IFERROR(G209*Datos!$B$3, "Revisar")</f>
        <v>292.6928571</v>
      </c>
      <c r="I209" s="13">
        <f t="shared" si="1"/>
        <v>46.83085714</v>
      </c>
    </row>
    <row r="210">
      <c r="A210" s="8" t="s">
        <v>221</v>
      </c>
      <c r="B210" s="9" t="s">
        <v>436</v>
      </c>
      <c r="C210" s="10" t="s">
        <v>437</v>
      </c>
      <c r="D210" s="11">
        <f>IFERROR((VLOOKUP(B210, Roccia!$B$2:$D997, 3, FALSE)*(1+Datos!$E$2)), "Revisar")</f>
        <v>17.508</v>
      </c>
      <c r="E210" s="11">
        <f>IFERROR(D210*Datos!$B$3, "Revisar")</f>
        <v>26.262</v>
      </c>
      <c r="F210" s="12">
        <f>IFERROR(E210*Datos!$B$1, "Revisar")</f>
        <v>15167.51568</v>
      </c>
      <c r="G210" s="13">
        <f>IFERROR((VLOOKUP(B210, Roccia!$B$2:$D997, 3, FALSE) /(1-Datos!$E$1)), "Revisar")</f>
        <v>20.84285714</v>
      </c>
      <c r="H210" s="13">
        <f>IFERROR(G210*Datos!$B$3, "Revisar")</f>
        <v>31.26428571</v>
      </c>
      <c r="I210" s="13">
        <f t="shared" si="1"/>
        <v>5.002285714</v>
      </c>
    </row>
    <row r="211">
      <c r="A211" s="8" t="s">
        <v>438</v>
      </c>
      <c r="B211" s="9" t="s">
        <v>439</v>
      </c>
      <c r="C211" s="10" t="s">
        <v>440</v>
      </c>
      <c r="D211" s="11">
        <f>IFERROR((VLOOKUP(B211, Roccia!$B$2:$D997, 3, FALSE)*(1+Datos!$E$2)), "Revisar")</f>
        <v>120</v>
      </c>
      <c r="E211" s="11">
        <f>IFERROR(D211*Datos!$B$3, "Revisar")</f>
        <v>180</v>
      </c>
      <c r="F211" s="12">
        <f>IFERROR(E211*Datos!$B$1, "Revisar")</f>
        <v>103958.298</v>
      </c>
      <c r="G211" s="13">
        <f>IFERROR((VLOOKUP(B211, Roccia!$B$2:$D997, 3, FALSE) /(1-Datos!$E$1)), "Revisar")</f>
        <v>142.8571429</v>
      </c>
      <c r="H211" s="13">
        <f>IFERROR(G211*Datos!$B$3, "Revisar")</f>
        <v>214.2857143</v>
      </c>
      <c r="I211" s="13">
        <f t="shared" si="1"/>
        <v>34.28571429</v>
      </c>
    </row>
    <row r="212">
      <c r="A212" s="8" t="s">
        <v>438</v>
      </c>
      <c r="B212" s="9" t="s">
        <v>441</v>
      </c>
      <c r="C212" s="10" t="s">
        <v>442</v>
      </c>
      <c r="D212" s="11">
        <f>IFERROR((VLOOKUP(B212, Roccia!$B$2:$D997, 3, FALSE)*(1+Datos!$E$2)), "Revisar")</f>
        <v>150.42</v>
      </c>
      <c r="E212" s="11">
        <f>IFERROR(D212*Datos!$B$3, "Revisar")</f>
        <v>225.63</v>
      </c>
      <c r="F212" s="12">
        <f>IFERROR(E212*Datos!$B$1, "Revisar")</f>
        <v>130311.7265</v>
      </c>
      <c r="G212" s="13">
        <f>IFERROR((VLOOKUP(B212, Roccia!$B$2:$D997, 3, FALSE) /(1-Datos!$E$1)), "Revisar")</f>
        <v>179.0714286</v>
      </c>
      <c r="H212" s="13">
        <f>IFERROR(G212*Datos!$B$3, "Revisar")</f>
        <v>268.6071429</v>
      </c>
      <c r="I212" s="13">
        <f t="shared" si="1"/>
        <v>42.97714286</v>
      </c>
    </row>
    <row r="213">
      <c r="A213" s="8" t="s">
        <v>438</v>
      </c>
      <c r="B213" s="9" t="s">
        <v>443</v>
      </c>
      <c r="C213" s="10" t="s">
        <v>444</v>
      </c>
      <c r="D213" s="11">
        <f>IFERROR((VLOOKUP(B213, Roccia!$B$2:$D997, 3, FALSE)*(1+Datos!$E$2)), "Revisar")</f>
        <v>248.16</v>
      </c>
      <c r="E213" s="11">
        <f>IFERROR(D213*Datos!$B$3, "Revisar")</f>
        <v>372.24</v>
      </c>
      <c r="F213" s="12">
        <f>IFERROR(E213*Datos!$B$1, "Revisar")</f>
        <v>214985.7603</v>
      </c>
      <c r="G213" s="13">
        <f>IFERROR((VLOOKUP(B213, Roccia!$B$2:$D997, 3, FALSE) /(1-Datos!$E$1)), "Revisar")</f>
        <v>295.4285714</v>
      </c>
      <c r="H213" s="13">
        <f>IFERROR(G213*Datos!$B$3, "Revisar")</f>
        <v>443.1428571</v>
      </c>
      <c r="I213" s="13">
        <f t="shared" si="1"/>
        <v>70.90285714</v>
      </c>
    </row>
    <row r="214">
      <c r="A214" s="8" t="s">
        <v>438</v>
      </c>
      <c r="B214" s="9" t="s">
        <v>445</v>
      </c>
      <c r="C214" s="10" t="s">
        <v>446</v>
      </c>
      <c r="D214" s="11">
        <f>IFERROR((VLOOKUP(B214, Roccia!$B$2:$D997, 3, FALSE)*(1+Datos!$E$2)), "Revisar")</f>
        <v>286.44</v>
      </c>
      <c r="E214" s="11">
        <f>IFERROR(D214*Datos!$B$3, "Revisar")</f>
        <v>429.66</v>
      </c>
      <c r="F214" s="12">
        <f>IFERROR(E214*Datos!$B$1, "Revisar")</f>
        <v>248148.4573</v>
      </c>
      <c r="G214" s="13">
        <f>IFERROR((VLOOKUP(B214, Roccia!$B$2:$D997, 3, FALSE) /(1-Datos!$E$1)), "Revisar")</f>
        <v>341</v>
      </c>
      <c r="H214" s="13">
        <f>IFERROR(G214*Datos!$B$3, "Revisar")</f>
        <v>511.5</v>
      </c>
      <c r="I214" s="13">
        <f t="shared" si="1"/>
        <v>81.84</v>
      </c>
    </row>
    <row r="215">
      <c r="A215" s="8" t="s">
        <v>438</v>
      </c>
      <c r="B215" s="9" t="s">
        <v>447</v>
      </c>
      <c r="C215" s="10" t="s">
        <v>448</v>
      </c>
      <c r="D215" s="11">
        <f>IFERROR((VLOOKUP(B215, Roccia!$B$2:$D997, 3, FALSE)*(1+Datos!$E$2)), "Revisar")</f>
        <v>312.9</v>
      </c>
      <c r="E215" s="11">
        <f>IFERROR(D215*Datos!$B$3, "Revisar")</f>
        <v>469.35</v>
      </c>
      <c r="F215" s="12">
        <f>IFERROR(E215*Datos!$B$1, "Revisar")</f>
        <v>271071.262</v>
      </c>
      <c r="G215" s="13">
        <f>IFERROR((VLOOKUP(B215, Roccia!$B$2:$D997, 3, FALSE) /(1-Datos!$E$1)), "Revisar")</f>
        <v>372.5</v>
      </c>
      <c r="H215" s="13">
        <f>IFERROR(G215*Datos!$B$3, "Revisar")</f>
        <v>558.75</v>
      </c>
      <c r="I215" s="13">
        <f t="shared" si="1"/>
        <v>89.4</v>
      </c>
    </row>
    <row r="216">
      <c r="A216" s="8" t="s">
        <v>438</v>
      </c>
      <c r="B216" s="9" t="s">
        <v>449</v>
      </c>
      <c r="C216" s="10" t="s">
        <v>450</v>
      </c>
      <c r="D216" s="11">
        <f>IFERROR((VLOOKUP(B216, Roccia!$B$2:$D997, 3, FALSE)*(1+Datos!$E$2)), "Revisar")</f>
        <v>494.808</v>
      </c>
      <c r="E216" s="11">
        <f>IFERROR(D216*Datos!$B$3, "Revisar")</f>
        <v>742.212</v>
      </c>
      <c r="F216" s="12">
        <f>IFERROR(E216*Datos!$B$1, "Revisar")</f>
        <v>428661.646</v>
      </c>
      <c r="G216" s="13">
        <f>IFERROR((VLOOKUP(B216, Roccia!$B$2:$D997, 3, FALSE) /(1-Datos!$E$1)), "Revisar")</f>
        <v>589.0571429</v>
      </c>
      <c r="H216" s="13">
        <f>IFERROR(G216*Datos!$B$3, "Revisar")</f>
        <v>883.5857143</v>
      </c>
      <c r="I216" s="13">
        <f t="shared" si="1"/>
        <v>141.3737143</v>
      </c>
    </row>
    <row r="217">
      <c r="A217" s="8" t="s">
        <v>438</v>
      </c>
      <c r="B217" s="9" t="s">
        <v>451</v>
      </c>
      <c r="C217" s="10" t="s">
        <v>452</v>
      </c>
      <c r="D217" s="11">
        <f>IFERROR((VLOOKUP(B217, Roccia!$B$2:$D997, 3, FALSE)*(1+Datos!$E$2)), "Revisar")</f>
        <v>31.86</v>
      </c>
      <c r="E217" s="11">
        <f>IFERROR(D217*Datos!$B$3, "Revisar")</f>
        <v>47.79</v>
      </c>
      <c r="F217" s="12">
        <f>IFERROR(E217*Datos!$B$1, "Revisar")</f>
        <v>27600.92812</v>
      </c>
      <c r="G217" s="13">
        <f>IFERROR((VLOOKUP(B217, Roccia!$B$2:$D997, 3, FALSE) /(1-Datos!$E$1)), "Revisar")</f>
        <v>37.92857143</v>
      </c>
      <c r="H217" s="13">
        <f>IFERROR(G217*Datos!$B$3, "Revisar")</f>
        <v>56.89285714</v>
      </c>
      <c r="I217" s="13">
        <f t="shared" si="1"/>
        <v>9.102857143</v>
      </c>
    </row>
    <row r="218">
      <c r="A218" s="8" t="s">
        <v>438</v>
      </c>
      <c r="B218" s="9" t="s">
        <v>453</v>
      </c>
      <c r="C218" s="10" t="s">
        <v>454</v>
      </c>
      <c r="D218" s="11">
        <f>IFERROR((VLOOKUP(B218, Roccia!$B$2:$D997, 3, FALSE)*(1+Datos!$E$2)), "Revisar")</f>
        <v>218.652</v>
      </c>
      <c r="E218" s="11">
        <f>IFERROR(D218*Datos!$B$3, "Revisar")</f>
        <v>327.978</v>
      </c>
      <c r="F218" s="12">
        <f>IFERROR(E218*Datos!$B$1, "Revisar")</f>
        <v>189422.4148</v>
      </c>
      <c r="G218" s="13">
        <f>IFERROR((VLOOKUP(B218, Roccia!$B$2:$D997, 3, FALSE) /(1-Datos!$E$1)), "Revisar")</f>
        <v>260.3</v>
      </c>
      <c r="H218" s="13">
        <f>IFERROR(G218*Datos!$B$3, "Revisar")</f>
        <v>390.45</v>
      </c>
      <c r="I218" s="13">
        <f t="shared" si="1"/>
        <v>62.472</v>
      </c>
    </row>
    <row r="219">
      <c r="A219" s="8" t="s">
        <v>438</v>
      </c>
      <c r="B219" s="9" t="s">
        <v>455</v>
      </c>
      <c r="C219" s="10" t="s">
        <v>456</v>
      </c>
      <c r="D219" s="11">
        <f>IFERROR((VLOOKUP(B219, Roccia!$B$2:$D997, 3, FALSE)*(1+Datos!$E$2)), "Revisar")</f>
        <v>196.284</v>
      </c>
      <c r="E219" s="11">
        <f>IFERROR(D219*Datos!$B$3, "Revisar")</f>
        <v>294.426</v>
      </c>
      <c r="F219" s="12">
        <f>IFERROR(E219*Datos!$B$1, "Revisar")</f>
        <v>170044.588</v>
      </c>
      <c r="G219" s="13">
        <f>IFERROR((VLOOKUP(B219, Roccia!$B$2:$D997, 3, FALSE) /(1-Datos!$E$1)), "Revisar")</f>
        <v>233.6714286</v>
      </c>
      <c r="H219" s="13">
        <f>IFERROR(G219*Datos!$B$3, "Revisar")</f>
        <v>350.5071429</v>
      </c>
      <c r="I219" s="13">
        <f t="shared" si="1"/>
        <v>56.08114286</v>
      </c>
    </row>
    <row r="220">
      <c r="A220" s="8" t="s">
        <v>457</v>
      </c>
      <c r="B220" s="9" t="s">
        <v>458</v>
      </c>
      <c r="C220" s="10" t="s">
        <v>459</v>
      </c>
      <c r="D220" s="11">
        <f>IFERROR((VLOOKUP(B220, Roccia!$B$2:$D997, 3, FALSE)*(1+Datos!$E$2)), "Revisar")</f>
        <v>224.52</v>
      </c>
      <c r="E220" s="11">
        <f>IFERROR(D220*Datos!$B$3, "Revisar")</f>
        <v>336.78</v>
      </c>
      <c r="F220" s="12">
        <f>IFERROR(E220*Datos!$B$1, "Revisar")</f>
        <v>194505.9756</v>
      </c>
      <c r="G220" s="13">
        <f>IFERROR((VLOOKUP(B220, Roccia!$B$2:$D997, 3, FALSE) /(1-Datos!$E$1)), "Revisar")</f>
        <v>267.2857143</v>
      </c>
      <c r="H220" s="13">
        <f>IFERROR(G220*Datos!$B$3, "Revisar")</f>
        <v>400.9285714</v>
      </c>
      <c r="I220" s="13">
        <f t="shared" si="1"/>
        <v>64.14857143</v>
      </c>
    </row>
    <row r="221">
      <c r="A221" s="8" t="s">
        <v>457</v>
      </c>
      <c r="B221" s="9" t="s">
        <v>460</v>
      </c>
      <c r="C221" s="10" t="s">
        <v>461</v>
      </c>
      <c r="D221" s="11">
        <f>IFERROR((VLOOKUP(B221, Roccia!$B$2:$D997, 3, FALSE)*(1+Datos!$E$2)), "Revisar")</f>
        <v>66.06</v>
      </c>
      <c r="E221" s="11">
        <f>IFERROR(D221*Datos!$B$3, "Revisar")</f>
        <v>99.09</v>
      </c>
      <c r="F221" s="12">
        <f>IFERROR(E221*Datos!$B$1, "Revisar")</f>
        <v>57229.04305</v>
      </c>
      <c r="G221" s="13">
        <f>IFERROR((VLOOKUP(B221, Roccia!$B$2:$D997, 3, FALSE) /(1-Datos!$E$1)), "Revisar")</f>
        <v>78.64285714</v>
      </c>
      <c r="H221" s="13">
        <f>IFERROR(G221*Datos!$B$3, "Revisar")</f>
        <v>117.9642857</v>
      </c>
      <c r="I221" s="13">
        <f t="shared" si="1"/>
        <v>18.87428571</v>
      </c>
    </row>
    <row r="222">
      <c r="A222" s="8" t="s">
        <v>457</v>
      </c>
      <c r="B222" s="9" t="s">
        <v>462</v>
      </c>
      <c r="C222" s="10" t="s">
        <v>463</v>
      </c>
      <c r="D222" s="11">
        <f>IFERROR((VLOOKUP(B222, Roccia!$B$2:$D997, 3, FALSE)*(1+Datos!$E$2)), "Revisar")</f>
        <v>105.684</v>
      </c>
      <c r="E222" s="11">
        <f>IFERROR(D222*Datos!$B$3, "Revisar")</f>
        <v>158.526</v>
      </c>
      <c r="F222" s="12">
        <f>IFERROR(E222*Datos!$B$1, "Revisar")</f>
        <v>91556.07305</v>
      </c>
      <c r="G222" s="13">
        <f>IFERROR((VLOOKUP(B222, Roccia!$B$2:$D997, 3, FALSE) /(1-Datos!$E$1)), "Revisar")</f>
        <v>125.8142857</v>
      </c>
      <c r="H222" s="13">
        <f>IFERROR(G222*Datos!$B$3, "Revisar")</f>
        <v>188.7214286</v>
      </c>
      <c r="I222" s="13">
        <f t="shared" si="1"/>
        <v>30.19542857</v>
      </c>
    </row>
    <row r="223">
      <c r="A223" s="8" t="s">
        <v>457</v>
      </c>
      <c r="B223" s="9" t="s">
        <v>464</v>
      </c>
      <c r="C223" s="10" t="s">
        <v>465</v>
      </c>
      <c r="D223" s="11">
        <f>IFERROR((VLOOKUP(B223, Roccia!$B$2:$D997, 3, FALSE)*(1+Datos!$E$2)), "Revisar")</f>
        <v>139.824</v>
      </c>
      <c r="E223" s="11">
        <f>IFERROR(D223*Datos!$B$3, "Revisar")</f>
        <v>209.736</v>
      </c>
      <c r="F223" s="12">
        <f>IFERROR(E223*Datos!$B$1, "Revisar")</f>
        <v>121132.2088</v>
      </c>
      <c r="G223" s="13">
        <f>IFERROR((VLOOKUP(B223, Roccia!$B$2:$D997, 3, FALSE) /(1-Datos!$E$1)), "Revisar")</f>
        <v>166.4571429</v>
      </c>
      <c r="H223" s="13">
        <f>IFERROR(G223*Datos!$B$3, "Revisar")</f>
        <v>249.6857143</v>
      </c>
      <c r="I223" s="13">
        <f t="shared" si="1"/>
        <v>39.94971429</v>
      </c>
    </row>
    <row r="224">
      <c r="A224" s="8" t="s">
        <v>457</v>
      </c>
      <c r="B224" s="9" t="s">
        <v>466</v>
      </c>
      <c r="C224" s="10" t="s">
        <v>467</v>
      </c>
      <c r="D224" s="11">
        <f>IFERROR((VLOOKUP(B224, Roccia!$B$2:$D997, 3, FALSE)*(1+Datos!$E$2)), "Revisar")</f>
        <v>761.508</v>
      </c>
      <c r="E224" s="11">
        <f>IFERROR(D224*Datos!$B$3, "Revisar")</f>
        <v>1142.262</v>
      </c>
      <c r="F224" s="12">
        <f>IFERROR(E224*Datos!$B$1, "Revisar")</f>
        <v>659708.9633</v>
      </c>
      <c r="G224" s="13">
        <f>IFERROR((VLOOKUP(B224, Roccia!$B$2:$D997, 3, FALSE) /(1-Datos!$E$1)), "Revisar")</f>
        <v>906.5571429</v>
      </c>
      <c r="H224" s="13">
        <f>IFERROR(G224*Datos!$B$3, "Revisar")</f>
        <v>1359.835714</v>
      </c>
      <c r="I224" s="13">
        <f t="shared" si="1"/>
        <v>217.5737143</v>
      </c>
    </row>
    <row r="225">
      <c r="A225" s="8" t="s">
        <v>457</v>
      </c>
      <c r="B225" s="9" t="s">
        <v>468</v>
      </c>
      <c r="C225" s="10" t="s">
        <v>469</v>
      </c>
      <c r="D225" s="11">
        <f>IFERROR((VLOOKUP(B225, Roccia!$B$2:$D997, 3, FALSE)*(1+Datos!$E$2)), "Revisar")</f>
        <v>603.888</v>
      </c>
      <c r="E225" s="11">
        <f>IFERROR(D225*Datos!$B$3, "Revisar")</f>
        <v>905.832</v>
      </c>
      <c r="F225" s="12">
        <f>IFERROR(E225*Datos!$B$1, "Revisar")</f>
        <v>523159.7389</v>
      </c>
      <c r="G225" s="13">
        <f>IFERROR((VLOOKUP(B225, Roccia!$B$2:$D997, 3, FALSE) /(1-Datos!$E$1)), "Revisar")</f>
        <v>718.9142857</v>
      </c>
      <c r="H225" s="13">
        <f>IFERROR(G225*Datos!$B$3, "Revisar")</f>
        <v>1078.371429</v>
      </c>
      <c r="I225" s="13">
        <f t="shared" si="1"/>
        <v>172.5394286</v>
      </c>
    </row>
    <row r="226">
      <c r="A226" s="8" t="s">
        <v>457</v>
      </c>
      <c r="B226" s="9" t="s">
        <v>470</v>
      </c>
      <c r="C226" s="10" t="s">
        <v>471</v>
      </c>
      <c r="D226" s="11">
        <f>IFERROR((VLOOKUP(B226, Roccia!$B$2:$D997, 3, FALSE)*(1+Datos!$E$2)), "Revisar")</f>
        <v>733.74</v>
      </c>
      <c r="E226" s="11">
        <f>IFERROR(D226*Datos!$B$3, "Revisar")</f>
        <v>1100.61</v>
      </c>
      <c r="F226" s="12">
        <f>IFERROR(E226*Datos!$B$1, "Revisar")</f>
        <v>635653.0131</v>
      </c>
      <c r="G226" s="13">
        <f>IFERROR((VLOOKUP(B226, Roccia!$B$2:$D997, 3, FALSE) /(1-Datos!$E$1)), "Revisar")</f>
        <v>873.5</v>
      </c>
      <c r="H226" s="13">
        <f>IFERROR(G226*Datos!$B$3, "Revisar")</f>
        <v>1310.25</v>
      </c>
      <c r="I226" s="13">
        <f t="shared" si="1"/>
        <v>209.64</v>
      </c>
    </row>
    <row r="227">
      <c r="A227" s="8" t="s">
        <v>457</v>
      </c>
      <c r="B227" s="9" t="s">
        <v>472</v>
      </c>
      <c r="C227" s="10" t="s">
        <v>473</v>
      </c>
      <c r="D227" s="11">
        <f>IFERROR((VLOOKUP(B227, Roccia!$B$2:$D997, 3, FALSE)*(1+Datos!$E$2)), "Revisar")</f>
        <v>125.232</v>
      </c>
      <c r="E227" s="11">
        <f>IFERROR(D227*Datos!$B$3, "Revisar")</f>
        <v>187.848</v>
      </c>
      <c r="F227" s="12">
        <f>IFERROR(E227*Datos!$B$1, "Revisar")</f>
        <v>108490.8798</v>
      </c>
      <c r="G227" s="13">
        <f>IFERROR((VLOOKUP(B227, Roccia!$B$2:$D997, 3, FALSE) /(1-Datos!$E$1)), "Revisar")</f>
        <v>149.0857143</v>
      </c>
      <c r="H227" s="13">
        <f>IFERROR(G227*Datos!$B$3, "Revisar")</f>
        <v>223.6285714</v>
      </c>
      <c r="I227" s="13">
        <f t="shared" si="1"/>
        <v>35.78057143</v>
      </c>
    </row>
    <row r="228">
      <c r="A228" s="8" t="s">
        <v>474</v>
      </c>
      <c r="B228" s="9" t="s">
        <v>475</v>
      </c>
      <c r="C228" s="10" t="s">
        <v>476</v>
      </c>
      <c r="D228" s="11">
        <f>IFERROR((VLOOKUP(B228, Roccia!$B$2:$D997, 3, FALSE)*(1+Datos!$E$2)), "Revisar")</f>
        <v>30</v>
      </c>
      <c r="E228" s="11">
        <f>IFERROR(D228*Datos!$B$3, "Revisar")</f>
        <v>45</v>
      </c>
      <c r="F228" s="12">
        <f>IFERROR(E228*Datos!$B$1, "Revisar")</f>
        <v>25989.5745</v>
      </c>
      <c r="G228" s="13">
        <f>IFERROR((VLOOKUP(B228, Roccia!$B$2:$D997, 3, FALSE) /(1-Datos!$E$1)), "Revisar")</f>
        <v>35.71428571</v>
      </c>
      <c r="H228" s="13">
        <f>IFERROR(G228*Datos!$B$3, "Revisar")</f>
        <v>53.57142857</v>
      </c>
      <c r="I228" s="13">
        <f t="shared" si="1"/>
        <v>8.571428571</v>
      </c>
    </row>
    <row r="229">
      <c r="A229" s="8" t="s">
        <v>474</v>
      </c>
      <c r="B229" s="9" t="s">
        <v>477</v>
      </c>
      <c r="C229" s="10" t="s">
        <v>478</v>
      </c>
      <c r="D229" s="11">
        <f>IFERROR((VLOOKUP(B229, Roccia!$B$2:$D997, 3, FALSE)*(1+Datos!$E$2)), "Revisar")</f>
        <v>55.824</v>
      </c>
      <c r="E229" s="11">
        <f>IFERROR(D229*Datos!$B$3, "Revisar")</f>
        <v>83.736</v>
      </c>
      <c r="F229" s="12">
        <f>IFERROR(E229*Datos!$B$1, "Revisar")</f>
        <v>48361.40023</v>
      </c>
      <c r="G229" s="13">
        <f>IFERROR((VLOOKUP(B229, Roccia!$B$2:$D997, 3, FALSE) /(1-Datos!$E$1)), "Revisar")</f>
        <v>66.45714286</v>
      </c>
      <c r="H229" s="13">
        <f>IFERROR(G229*Datos!$B$3, "Revisar")</f>
        <v>99.68571429</v>
      </c>
      <c r="I229" s="13">
        <f t="shared" si="1"/>
        <v>15.94971429</v>
      </c>
    </row>
    <row r="230">
      <c r="A230" s="8" t="s">
        <v>474</v>
      </c>
      <c r="B230" s="9" t="s">
        <v>479</v>
      </c>
      <c r="C230" s="10" t="s">
        <v>480</v>
      </c>
      <c r="D230" s="11">
        <f>IFERROR((VLOOKUP(B230, Roccia!$B$2:$D997, 3, FALSE)*(1+Datos!$E$2)), "Revisar")</f>
        <v>84</v>
      </c>
      <c r="E230" s="11">
        <f>IFERROR(D230*Datos!$B$3, "Revisar")</f>
        <v>126</v>
      </c>
      <c r="F230" s="12">
        <f>IFERROR(E230*Datos!$B$1, "Revisar")</f>
        <v>72770.8086</v>
      </c>
      <c r="G230" s="13">
        <f>IFERROR((VLOOKUP(B230, Roccia!$B$2:$D997, 3, FALSE) /(1-Datos!$E$1)), "Revisar")</f>
        <v>100</v>
      </c>
      <c r="H230" s="13">
        <f>IFERROR(G230*Datos!$B$3, "Revisar")</f>
        <v>150</v>
      </c>
      <c r="I230" s="13">
        <f t="shared" si="1"/>
        <v>24</v>
      </c>
    </row>
    <row r="231">
      <c r="A231" s="8" t="s">
        <v>474</v>
      </c>
      <c r="B231" s="9" t="s">
        <v>481</v>
      </c>
      <c r="C231" s="10" t="s">
        <v>482</v>
      </c>
      <c r="D231" s="11">
        <f>IFERROR((VLOOKUP(B231, Roccia!$B$2:$D997, 3, FALSE)*(1+Datos!$E$2)), "Revisar")</f>
        <v>40.836</v>
      </c>
      <c r="E231" s="11">
        <f>IFERROR(D231*Datos!$B$3, "Revisar")</f>
        <v>61.254</v>
      </c>
      <c r="F231" s="12">
        <f>IFERROR(E231*Datos!$B$1, "Revisar")</f>
        <v>35377.00881</v>
      </c>
      <c r="G231" s="13">
        <f>IFERROR((VLOOKUP(B231, Roccia!$B$2:$D997, 3, FALSE) /(1-Datos!$E$1)), "Revisar")</f>
        <v>48.61428571</v>
      </c>
      <c r="H231" s="13">
        <f>IFERROR(G231*Datos!$B$3, "Revisar")</f>
        <v>72.92142857</v>
      </c>
      <c r="I231" s="13">
        <f t="shared" si="1"/>
        <v>11.66742857</v>
      </c>
    </row>
    <row r="232">
      <c r="A232" s="8" t="s">
        <v>474</v>
      </c>
      <c r="B232" s="9" t="s">
        <v>483</v>
      </c>
      <c r="C232" s="10" t="s">
        <v>484</v>
      </c>
      <c r="D232" s="11">
        <f>IFERROR((VLOOKUP(B232, Roccia!$B$2:$D997, 3, FALSE)*(1+Datos!$E$2)), "Revisar")</f>
        <v>192.504</v>
      </c>
      <c r="E232" s="11">
        <f>IFERROR(D232*Datos!$B$3, "Revisar")</f>
        <v>288.756</v>
      </c>
      <c r="F232" s="12">
        <f>IFERROR(E232*Datos!$B$1, "Revisar")</f>
        <v>166769.9017</v>
      </c>
      <c r="G232" s="13">
        <f>IFERROR((VLOOKUP(B232, Roccia!$B$2:$D997, 3, FALSE) /(1-Datos!$E$1)), "Revisar")</f>
        <v>229.1714286</v>
      </c>
      <c r="H232" s="13">
        <f>IFERROR(G232*Datos!$B$3, "Revisar")</f>
        <v>343.7571429</v>
      </c>
      <c r="I232" s="13">
        <f t="shared" si="1"/>
        <v>55.00114286</v>
      </c>
    </row>
    <row r="233">
      <c r="A233" s="8" t="s">
        <v>485</v>
      </c>
      <c r="B233" s="9" t="s">
        <v>486</v>
      </c>
      <c r="C233" s="10" t="s">
        <v>487</v>
      </c>
      <c r="D233" s="11">
        <f>IFERROR((VLOOKUP(B233, Roccia!$B$2:$D997, 3, FALSE)*(1+Datos!$E$2)), "Revisar")</f>
        <v>485.232</v>
      </c>
      <c r="E233" s="11">
        <f>IFERROR(D233*Datos!$B$3, "Revisar")</f>
        <v>727.848</v>
      </c>
      <c r="F233" s="12">
        <f>IFERROR(E233*Datos!$B$1, "Revisar")</f>
        <v>420365.7738</v>
      </c>
      <c r="G233" s="13">
        <f>IFERROR((VLOOKUP(B233, Roccia!$B$2:$D997, 3, FALSE) /(1-Datos!$E$1)), "Revisar")</f>
        <v>577.6571429</v>
      </c>
      <c r="H233" s="13">
        <f>IFERROR(G233*Datos!$B$3, "Revisar")</f>
        <v>866.4857143</v>
      </c>
      <c r="I233" s="13">
        <f t="shared" si="1"/>
        <v>138.6377143</v>
      </c>
    </row>
    <row r="234">
      <c r="A234" s="8" t="s">
        <v>485</v>
      </c>
      <c r="B234" s="9" t="s">
        <v>488</v>
      </c>
      <c r="C234" s="10" t="s">
        <v>489</v>
      </c>
      <c r="D234" s="11">
        <f>IFERROR((VLOOKUP(B234, Roccia!$B$2:$D997, 3, FALSE)*(1+Datos!$E$2)), "Revisar")</f>
        <v>812.388</v>
      </c>
      <c r="E234" s="11">
        <f>IFERROR(D234*Datos!$B$3, "Revisar")</f>
        <v>1218.582</v>
      </c>
      <c r="F234" s="12">
        <f>IFERROR(E234*Datos!$B$1, "Revisar")</f>
        <v>703787.2816</v>
      </c>
      <c r="G234" s="13">
        <f>IFERROR((VLOOKUP(B234, Roccia!$B$2:$D997, 3, FALSE) /(1-Datos!$E$1)), "Revisar")</f>
        <v>967.1285714</v>
      </c>
      <c r="H234" s="13">
        <f>IFERROR(G234*Datos!$B$3, "Revisar")</f>
        <v>1450.692857</v>
      </c>
      <c r="I234" s="13">
        <f t="shared" si="1"/>
        <v>232.1108571</v>
      </c>
    </row>
    <row r="235">
      <c r="A235" s="8" t="s">
        <v>485</v>
      </c>
      <c r="B235" s="9" t="s">
        <v>490</v>
      </c>
      <c r="C235" s="10" t="s">
        <v>491</v>
      </c>
      <c r="D235" s="11">
        <f>IFERROR((VLOOKUP(B235, Roccia!$B$2:$D997, 3, FALSE)*(1+Datos!$E$2)), "Revisar")</f>
        <v>672.492</v>
      </c>
      <c r="E235" s="11">
        <f>IFERROR(D235*Datos!$B$3, "Revisar")</f>
        <v>1008.738</v>
      </c>
      <c r="F235" s="12">
        <f>IFERROR(E235*Datos!$B$1, "Revisar")</f>
        <v>582592.6978</v>
      </c>
      <c r="G235" s="13">
        <f>IFERROR((VLOOKUP(B235, Roccia!$B$2:$D997, 3, FALSE) /(1-Datos!$E$1)), "Revisar")</f>
        <v>800.5857143</v>
      </c>
      <c r="H235" s="13">
        <f>IFERROR(G235*Datos!$B$3, "Revisar")</f>
        <v>1200.878571</v>
      </c>
      <c r="I235" s="13">
        <f t="shared" si="1"/>
        <v>192.1405714</v>
      </c>
    </row>
    <row r="236">
      <c r="A236" s="8" t="s">
        <v>485</v>
      </c>
      <c r="B236" s="9" t="s">
        <v>492</v>
      </c>
      <c r="C236" s="10" t="s">
        <v>493</v>
      </c>
      <c r="D236" s="11">
        <f>IFERROR((VLOOKUP(B236, Roccia!$B$2:$D997, 3, FALSE)*(1+Datos!$E$2)), "Revisar")</f>
        <v>672.492</v>
      </c>
      <c r="E236" s="11">
        <f>IFERROR(D236*Datos!$B$3, "Revisar")</f>
        <v>1008.738</v>
      </c>
      <c r="F236" s="12">
        <f>IFERROR(E236*Datos!$B$1, "Revisar")</f>
        <v>582592.6978</v>
      </c>
      <c r="G236" s="13">
        <f>IFERROR((VLOOKUP(B236, Roccia!$B$2:$D997, 3, FALSE) /(1-Datos!$E$1)), "Revisar")</f>
        <v>800.5857143</v>
      </c>
      <c r="H236" s="13">
        <f>IFERROR(G236*Datos!$B$3, "Revisar")</f>
        <v>1200.878571</v>
      </c>
      <c r="I236" s="13">
        <f t="shared" si="1"/>
        <v>192.1405714</v>
      </c>
    </row>
    <row r="237">
      <c r="A237" s="8" t="s">
        <v>485</v>
      </c>
      <c r="B237" s="9" t="s">
        <v>494</v>
      </c>
      <c r="C237" s="10" t="s">
        <v>495</v>
      </c>
      <c r="D237" s="11">
        <f>IFERROR((VLOOKUP(B237, Roccia!$B$2:$D997, 3, FALSE)*(1+Datos!$E$2)), "Revisar")</f>
        <v>366.168</v>
      </c>
      <c r="E237" s="11">
        <f>IFERROR(D237*Datos!$B$3, "Revisar")</f>
        <v>549.252</v>
      </c>
      <c r="F237" s="12">
        <f>IFERROR(E237*Datos!$B$1, "Revisar")</f>
        <v>317218.3505</v>
      </c>
      <c r="G237" s="13">
        <f>IFERROR((VLOOKUP(B237, Roccia!$B$2:$D997, 3, FALSE) /(1-Datos!$E$1)), "Revisar")</f>
        <v>435.9142857</v>
      </c>
      <c r="H237" s="13">
        <f>IFERROR(G237*Datos!$B$3, "Revisar")</f>
        <v>653.8714286</v>
      </c>
      <c r="I237" s="13">
        <f t="shared" si="1"/>
        <v>104.6194286</v>
      </c>
    </row>
    <row r="238">
      <c r="A238" s="8" t="s">
        <v>485</v>
      </c>
      <c r="B238" s="9" t="s">
        <v>496</v>
      </c>
      <c r="C238" s="10" t="s">
        <v>497</v>
      </c>
      <c r="D238" s="11">
        <f>IFERROR((VLOOKUP(B238, Roccia!$B$2:$D997, 3, FALSE)*(1+Datos!$E$2)), "Revisar")</f>
        <v>1200</v>
      </c>
      <c r="E238" s="11">
        <f>IFERROR(D238*Datos!$B$3, "Revisar")</f>
        <v>1800</v>
      </c>
      <c r="F238" s="12">
        <f>IFERROR(E238*Datos!$B$1, "Revisar")</f>
        <v>1039582.98</v>
      </c>
      <c r="G238" s="13">
        <f>IFERROR((VLOOKUP(B238, Roccia!$B$2:$D997, 3, FALSE) /(1-Datos!$E$1)), "Revisar")</f>
        <v>1428.571429</v>
      </c>
      <c r="H238" s="13">
        <f>IFERROR(G238*Datos!$B$3, "Revisar")</f>
        <v>2142.857143</v>
      </c>
      <c r="I238" s="13">
        <f t="shared" si="1"/>
        <v>342.8571429</v>
      </c>
    </row>
    <row r="239">
      <c r="A239" s="8" t="s">
        <v>485</v>
      </c>
      <c r="B239" s="9" t="s">
        <v>498</v>
      </c>
      <c r="C239" s="10" t="s">
        <v>499</v>
      </c>
      <c r="D239" s="11">
        <f>IFERROR((VLOOKUP(B239, Roccia!$B$2:$D997, 3, FALSE)*(1+Datos!$E$2)), "Revisar")</f>
        <v>2095.5</v>
      </c>
      <c r="E239" s="11">
        <f>IFERROR(D239*Datos!$B$3, "Revisar")</f>
        <v>3143.25</v>
      </c>
      <c r="F239" s="12">
        <f>IFERROR(E239*Datos!$B$1, "Revisar")</f>
        <v>1815371.779</v>
      </c>
      <c r="G239" s="13">
        <f>IFERROR((VLOOKUP(B239, Roccia!$B$2:$D997, 3, FALSE) /(1-Datos!$E$1)), "Revisar")</f>
        <v>2494.642857</v>
      </c>
      <c r="H239" s="13">
        <f>IFERROR(G239*Datos!$B$3, "Revisar")</f>
        <v>3741.964286</v>
      </c>
      <c r="I239" s="13">
        <f t="shared" si="1"/>
        <v>598.7142857</v>
      </c>
    </row>
    <row r="240">
      <c r="A240" s="8" t="s">
        <v>485</v>
      </c>
      <c r="B240" s="9" t="s">
        <v>500</v>
      </c>
      <c r="C240" s="10" t="s">
        <v>501</v>
      </c>
      <c r="D240" s="11">
        <f>IFERROR((VLOOKUP(B240, Roccia!$B$2:$D997, 3, FALSE)*(1+Datos!$E$2)), "Revisar")</f>
        <v>155.412</v>
      </c>
      <c r="E240" s="11">
        <f>IFERROR(D240*Datos!$B$3, "Revisar")</f>
        <v>233.118</v>
      </c>
      <c r="F240" s="12">
        <f>IFERROR(E240*Datos!$B$1, "Revisar")</f>
        <v>134636.3917</v>
      </c>
      <c r="G240" s="13">
        <f>IFERROR((VLOOKUP(B240, Roccia!$B$2:$D997, 3, FALSE) /(1-Datos!$E$1)), "Revisar")</f>
        <v>185.0142857</v>
      </c>
      <c r="H240" s="13">
        <f>IFERROR(G240*Datos!$B$3, "Revisar")</f>
        <v>277.5214286</v>
      </c>
      <c r="I240" s="13">
        <f t="shared" si="1"/>
        <v>44.40342857</v>
      </c>
    </row>
    <row r="241">
      <c r="A241" s="8" t="s">
        <v>485</v>
      </c>
      <c r="B241" s="9" t="s">
        <v>502</v>
      </c>
      <c r="C241" s="10" t="s">
        <v>503</v>
      </c>
      <c r="D241" s="11">
        <f>IFERROR((VLOOKUP(B241, Roccia!$B$2:$D997, 3, FALSE)*(1+Datos!$E$2)), "Revisar")</f>
        <v>182.964</v>
      </c>
      <c r="E241" s="11">
        <f>IFERROR(D241*Datos!$B$3, "Revisar")</f>
        <v>274.446</v>
      </c>
      <c r="F241" s="12">
        <f>IFERROR(E241*Datos!$B$1, "Revisar")</f>
        <v>158505.217</v>
      </c>
      <c r="G241" s="13">
        <f>IFERROR((VLOOKUP(B241, Roccia!$B$2:$D997, 3, FALSE) /(1-Datos!$E$1)), "Revisar")</f>
        <v>217.8142857</v>
      </c>
      <c r="H241" s="13">
        <f>IFERROR(G241*Datos!$B$3, "Revisar")</f>
        <v>326.7214286</v>
      </c>
      <c r="I241" s="13">
        <f t="shared" si="1"/>
        <v>52.27542857</v>
      </c>
    </row>
    <row r="242">
      <c r="A242" s="8" t="s">
        <v>485</v>
      </c>
      <c r="B242" s="9" t="s">
        <v>504</v>
      </c>
      <c r="C242" s="10" t="s">
        <v>505</v>
      </c>
      <c r="D242" s="11">
        <f>IFERROR((VLOOKUP(B242, Roccia!$B$2:$D997, 3, FALSE)*(1+Datos!$E$2)), "Revisar")</f>
        <v>792.876</v>
      </c>
      <c r="E242" s="11">
        <f>IFERROR(D242*Datos!$B$3, "Revisar")</f>
        <v>1189.314</v>
      </c>
      <c r="F242" s="12">
        <f>IFERROR(E242*Datos!$B$1, "Revisar")</f>
        <v>686883.6624</v>
      </c>
      <c r="G242" s="13">
        <f>IFERROR((VLOOKUP(B242, Roccia!$B$2:$D997, 3, FALSE) /(1-Datos!$E$1)), "Revisar")</f>
        <v>943.9</v>
      </c>
      <c r="H242" s="13">
        <f>IFERROR(G242*Datos!$B$3, "Revisar")</f>
        <v>1415.85</v>
      </c>
      <c r="I242" s="13">
        <f t="shared" si="1"/>
        <v>226.536</v>
      </c>
    </row>
    <row r="243">
      <c r="A243" s="8" t="s">
        <v>485</v>
      </c>
      <c r="B243" s="9" t="s">
        <v>506</v>
      </c>
      <c r="C243" s="10" t="s">
        <v>507</v>
      </c>
      <c r="D243" s="11">
        <f>IFERROR((VLOOKUP(B243, Roccia!$B$2:$D997, 3, FALSE)*(1+Datos!$E$2)), "Revisar")</f>
        <v>198.96</v>
      </c>
      <c r="E243" s="11">
        <f>IFERROR(D243*Datos!$B$3, "Revisar")</f>
        <v>298.44</v>
      </c>
      <c r="F243" s="12">
        <f>IFERROR(E243*Datos!$B$1, "Revisar")</f>
        <v>172362.8581</v>
      </c>
      <c r="G243" s="13">
        <f>IFERROR((VLOOKUP(B243, Roccia!$B$2:$D997, 3, FALSE) /(1-Datos!$E$1)), "Revisar")</f>
        <v>236.8571429</v>
      </c>
      <c r="H243" s="13">
        <f>IFERROR(G243*Datos!$B$3, "Revisar")</f>
        <v>355.2857143</v>
      </c>
      <c r="I243" s="13">
        <f t="shared" si="1"/>
        <v>56.84571429</v>
      </c>
    </row>
    <row r="244">
      <c r="A244" s="8" t="s">
        <v>485</v>
      </c>
      <c r="B244" s="9" t="s">
        <v>508</v>
      </c>
      <c r="C244" s="10" t="s">
        <v>509</v>
      </c>
      <c r="D244" s="11">
        <f>IFERROR((VLOOKUP(B244, Roccia!$B$2:$D997, 3, FALSE)*(1+Datos!$E$2)), "Revisar")</f>
        <v>174.264</v>
      </c>
      <c r="E244" s="11">
        <f>IFERROR(D244*Datos!$B$3, "Revisar")</f>
        <v>261.396</v>
      </c>
      <c r="F244" s="12">
        <f>IFERROR(E244*Datos!$B$1, "Revisar")</f>
        <v>150968.2404</v>
      </c>
      <c r="G244" s="13">
        <f>IFERROR((VLOOKUP(B244, Roccia!$B$2:$D997, 3, FALSE) /(1-Datos!$E$1)), "Revisar")</f>
        <v>207.4571429</v>
      </c>
      <c r="H244" s="13">
        <f>IFERROR(G244*Datos!$B$3, "Revisar")</f>
        <v>311.1857143</v>
      </c>
      <c r="I244" s="13">
        <f t="shared" si="1"/>
        <v>49.78971429</v>
      </c>
    </row>
    <row r="245">
      <c r="A245" s="8" t="s">
        <v>485</v>
      </c>
      <c r="B245" s="9" t="s">
        <v>510</v>
      </c>
      <c r="C245" s="10" t="s">
        <v>511</v>
      </c>
      <c r="D245" s="11">
        <f>IFERROR((VLOOKUP(B245, Roccia!$B$2:$D997, 3, FALSE)*(1+Datos!$E$2)), "Revisar")</f>
        <v>182.412</v>
      </c>
      <c r="E245" s="11">
        <f>IFERROR(D245*Datos!$B$3, "Revisar")</f>
        <v>273.618</v>
      </c>
      <c r="F245" s="12">
        <f>IFERROR(E245*Datos!$B$1, "Revisar")</f>
        <v>158027.0088</v>
      </c>
      <c r="G245" s="13">
        <f>IFERROR((VLOOKUP(B245, Roccia!$B$2:$D997, 3, FALSE) /(1-Datos!$E$1)), "Revisar")</f>
        <v>217.1571429</v>
      </c>
      <c r="H245" s="13">
        <f>IFERROR(G245*Datos!$B$3, "Revisar")</f>
        <v>325.7357143</v>
      </c>
      <c r="I245" s="13">
        <f t="shared" si="1"/>
        <v>52.11771429</v>
      </c>
    </row>
    <row r="246">
      <c r="A246" s="8" t="s">
        <v>485</v>
      </c>
      <c r="B246" s="9" t="s">
        <v>512</v>
      </c>
      <c r="C246" s="10" t="s">
        <v>513</v>
      </c>
      <c r="D246" s="11">
        <f>IFERROR((VLOOKUP(B246, Roccia!$B$2:$D997, 3, FALSE)*(1+Datos!$E$2)), "Revisar")</f>
        <v>227.928</v>
      </c>
      <c r="E246" s="11">
        <f>IFERROR(D246*Datos!$B$3, "Revisar")</f>
        <v>341.892</v>
      </c>
      <c r="F246" s="12">
        <f>IFERROR(E246*Datos!$B$1, "Revisar")</f>
        <v>197458.3912</v>
      </c>
      <c r="G246" s="13">
        <f>IFERROR((VLOOKUP(B246, Roccia!$B$2:$D997, 3, FALSE) /(1-Datos!$E$1)), "Revisar")</f>
        <v>271.3428571</v>
      </c>
      <c r="H246" s="13">
        <f>IFERROR(G246*Datos!$B$3, "Revisar")</f>
        <v>407.0142857</v>
      </c>
      <c r="I246" s="13">
        <f t="shared" si="1"/>
        <v>65.12228571</v>
      </c>
    </row>
    <row r="247">
      <c r="A247" s="8" t="s">
        <v>485</v>
      </c>
      <c r="B247" s="9" t="s">
        <v>514</v>
      </c>
      <c r="C247" s="10" t="s">
        <v>515</v>
      </c>
      <c r="D247" s="11">
        <f>IFERROR((VLOOKUP(B247, Roccia!$B$2:$D997, 3, FALSE)*(1+Datos!$E$2)), "Revisar")</f>
        <v>272.028</v>
      </c>
      <c r="E247" s="11">
        <f>IFERROR(D247*Datos!$B$3, "Revisar")</f>
        <v>408.042</v>
      </c>
      <c r="F247" s="12">
        <f>IFERROR(E247*Datos!$B$1, "Revisar")</f>
        <v>235663.0657</v>
      </c>
      <c r="G247" s="13">
        <f>IFERROR((VLOOKUP(B247, Roccia!$B$2:$D997, 3, FALSE) /(1-Datos!$E$1)), "Revisar")</f>
        <v>323.8428571</v>
      </c>
      <c r="H247" s="13">
        <f>IFERROR(G247*Datos!$B$3, "Revisar")</f>
        <v>485.7642857</v>
      </c>
      <c r="I247" s="13">
        <f t="shared" si="1"/>
        <v>77.72228571</v>
      </c>
    </row>
    <row r="248">
      <c r="A248" s="8" t="s">
        <v>485</v>
      </c>
      <c r="B248" s="9" t="s">
        <v>516</v>
      </c>
      <c r="C248" s="10" t="s">
        <v>517</v>
      </c>
      <c r="D248" s="11">
        <f>IFERROR((VLOOKUP(B248, Roccia!$B$2:$D997, 3, FALSE)*(1+Datos!$E$2)), "Revisar")</f>
        <v>59.52</v>
      </c>
      <c r="E248" s="11">
        <f>IFERROR(D248*Datos!$B$3, "Revisar")</f>
        <v>89.28</v>
      </c>
      <c r="F248" s="12">
        <f>IFERROR(E248*Datos!$B$1, "Revisar")</f>
        <v>51563.31581</v>
      </c>
      <c r="G248" s="13">
        <f>IFERROR((VLOOKUP(B248, Roccia!$B$2:$D997, 3, FALSE) /(1-Datos!$E$1)), "Revisar")</f>
        <v>70.85714286</v>
      </c>
      <c r="H248" s="13">
        <f>IFERROR(G248*Datos!$B$3, "Revisar")</f>
        <v>106.2857143</v>
      </c>
      <c r="I248" s="13">
        <f t="shared" si="1"/>
        <v>17.00571429</v>
      </c>
    </row>
    <row r="249">
      <c r="A249" s="8" t="s">
        <v>485</v>
      </c>
      <c r="B249" s="9" t="s">
        <v>518</v>
      </c>
      <c r="C249" s="10" t="s">
        <v>519</v>
      </c>
      <c r="D249" s="11">
        <f>IFERROR((VLOOKUP(B249, Roccia!$B$2:$D997, 3, FALSE)*(1+Datos!$E$2)), "Revisar")</f>
        <v>71.148</v>
      </c>
      <c r="E249" s="11">
        <f>IFERROR(D249*Datos!$B$3, "Revisar")</f>
        <v>106.722</v>
      </c>
      <c r="F249" s="12">
        <f>IFERROR(E249*Datos!$B$1, "Revisar")</f>
        <v>61636.87488</v>
      </c>
      <c r="G249" s="13">
        <f>IFERROR((VLOOKUP(B249, Roccia!$B$2:$D997, 3, FALSE) /(1-Datos!$E$1)), "Revisar")</f>
        <v>84.7</v>
      </c>
      <c r="H249" s="13">
        <f>IFERROR(G249*Datos!$B$3, "Revisar")</f>
        <v>127.05</v>
      </c>
      <c r="I249" s="13">
        <f t="shared" si="1"/>
        <v>20.328</v>
      </c>
    </row>
    <row r="250">
      <c r="A250" s="8" t="s">
        <v>485</v>
      </c>
      <c r="B250" s="9" t="s">
        <v>520</v>
      </c>
      <c r="C250" s="10" t="s">
        <v>521</v>
      </c>
      <c r="D250" s="11">
        <f>IFERROR((VLOOKUP(B250, Roccia!$B$2:$D997, 3, FALSE)*(1+Datos!$E$2)), "Revisar")</f>
        <v>95.016</v>
      </c>
      <c r="E250" s="11">
        <f>IFERROR(D250*Datos!$B$3, "Revisar")</f>
        <v>142.524</v>
      </c>
      <c r="F250" s="12">
        <f>IFERROR(E250*Datos!$B$1, "Revisar")</f>
        <v>82314.18036</v>
      </c>
      <c r="G250" s="13">
        <f>IFERROR((VLOOKUP(B250, Roccia!$B$2:$D997, 3, FALSE) /(1-Datos!$E$1)), "Revisar")</f>
        <v>113.1142857</v>
      </c>
      <c r="H250" s="13">
        <f>IFERROR(G250*Datos!$B$3, "Revisar")</f>
        <v>169.6714286</v>
      </c>
      <c r="I250" s="13">
        <f t="shared" si="1"/>
        <v>27.14742857</v>
      </c>
    </row>
    <row r="251">
      <c r="A251" s="8" t="s">
        <v>485</v>
      </c>
      <c r="B251" s="9" t="s">
        <v>522</v>
      </c>
      <c r="C251" s="10" t="s">
        <v>523</v>
      </c>
      <c r="D251" s="11">
        <f>IFERROR((VLOOKUP(B251, Roccia!$B$2:$D997, 3, FALSE)*(1+Datos!$E$2)), "Revisar")</f>
        <v>125.604</v>
      </c>
      <c r="E251" s="11">
        <f>IFERROR(D251*Datos!$B$3, "Revisar")</f>
        <v>188.406</v>
      </c>
      <c r="F251" s="12">
        <f>IFERROR(E251*Datos!$B$1, "Revisar")</f>
        <v>108813.1505</v>
      </c>
      <c r="G251" s="13">
        <f>IFERROR((VLOOKUP(B251, Roccia!$B$2:$D997, 3, FALSE) /(1-Datos!$E$1)), "Revisar")</f>
        <v>149.5285714</v>
      </c>
      <c r="H251" s="13">
        <f>IFERROR(G251*Datos!$B$3, "Revisar")</f>
        <v>224.2928571</v>
      </c>
      <c r="I251" s="13">
        <f t="shared" si="1"/>
        <v>35.88685714</v>
      </c>
    </row>
    <row r="252">
      <c r="A252" s="8" t="s">
        <v>485</v>
      </c>
      <c r="B252" s="9" t="s">
        <v>524</v>
      </c>
      <c r="C252" s="10" t="s">
        <v>525</v>
      </c>
      <c r="D252" s="11">
        <f>IFERROR((VLOOKUP(B252, Roccia!$B$2:$D997, 3, FALSE)*(1+Datos!$E$2)), "Revisar")</f>
        <v>267.192</v>
      </c>
      <c r="E252" s="11">
        <f>IFERROR(D252*Datos!$B$3, "Revisar")</f>
        <v>400.788</v>
      </c>
      <c r="F252" s="12">
        <f>IFERROR(E252*Datos!$B$1, "Revisar")</f>
        <v>231473.5463</v>
      </c>
      <c r="G252" s="13">
        <f>IFERROR((VLOOKUP(B252, Roccia!$B$2:$D997, 3, FALSE) /(1-Datos!$E$1)), "Revisar")</f>
        <v>318.0857143</v>
      </c>
      <c r="H252" s="13">
        <f>IFERROR(G252*Datos!$B$3, "Revisar")</f>
        <v>477.1285714</v>
      </c>
      <c r="I252" s="13">
        <f t="shared" si="1"/>
        <v>76.34057143</v>
      </c>
    </row>
    <row r="253">
      <c r="A253" s="8" t="s">
        <v>485</v>
      </c>
      <c r="B253" s="9" t="s">
        <v>526</v>
      </c>
      <c r="C253" s="10" t="s">
        <v>527</v>
      </c>
      <c r="D253" s="11">
        <f>IFERROR((VLOOKUP(B253, Roccia!$B$2:$D997, 3, FALSE)*(1+Datos!$E$2)), "Revisar")</f>
        <v>492.924</v>
      </c>
      <c r="E253" s="11">
        <f>IFERROR(D253*Datos!$B$3, "Revisar")</f>
        <v>739.386</v>
      </c>
      <c r="F253" s="12">
        <f>IFERROR(E253*Datos!$B$1, "Revisar")</f>
        <v>427029.5007</v>
      </c>
      <c r="G253" s="13">
        <f>IFERROR((VLOOKUP(B253, Roccia!$B$2:$D997, 3, FALSE) /(1-Datos!$E$1)), "Revisar")</f>
        <v>586.8142857</v>
      </c>
      <c r="H253" s="13">
        <f>IFERROR(G253*Datos!$B$3, "Revisar")</f>
        <v>880.2214286</v>
      </c>
      <c r="I253" s="13">
        <f t="shared" si="1"/>
        <v>140.8354286</v>
      </c>
    </row>
    <row r="254">
      <c r="A254" s="8" t="s">
        <v>485</v>
      </c>
      <c r="B254" s="9" t="s">
        <v>528</v>
      </c>
      <c r="C254" s="10" t="s">
        <v>529</v>
      </c>
      <c r="D254" s="11">
        <f>IFERROR((VLOOKUP(B254, Roccia!$B$2:$D997, 3, FALSE)*(1+Datos!$E$2)), "Revisar")</f>
        <v>457.536</v>
      </c>
      <c r="E254" s="11">
        <f>IFERROR(D254*Datos!$B$3, "Revisar")</f>
        <v>686.304</v>
      </c>
      <c r="F254" s="12">
        <f>IFERROR(E254*Datos!$B$1, "Revisar")</f>
        <v>396372.1986</v>
      </c>
      <c r="G254" s="13">
        <f>IFERROR((VLOOKUP(B254, Roccia!$B$2:$D997, 3, FALSE) /(1-Datos!$E$1)), "Revisar")</f>
        <v>544.6857143</v>
      </c>
      <c r="H254" s="13">
        <f>IFERROR(G254*Datos!$B$3, "Revisar")</f>
        <v>817.0285714</v>
      </c>
      <c r="I254" s="13">
        <f t="shared" si="1"/>
        <v>130.7245714</v>
      </c>
    </row>
    <row r="255">
      <c r="A255" s="8" t="s">
        <v>485</v>
      </c>
      <c r="B255" s="9" t="s">
        <v>530</v>
      </c>
      <c r="C255" s="10" t="s">
        <v>531</v>
      </c>
      <c r="D255" s="11">
        <f>IFERROR((VLOOKUP(B255, Roccia!$B$2:$D997, 3, FALSE)*(1+Datos!$E$2)), "Revisar")</f>
        <v>859.464</v>
      </c>
      <c r="E255" s="11">
        <f>IFERROR(D255*Datos!$B$3, "Revisar")</f>
        <v>1289.196</v>
      </c>
      <c r="F255" s="12">
        <f>IFERROR(E255*Datos!$B$1, "Revisar")</f>
        <v>744570.1219</v>
      </c>
      <c r="G255" s="13">
        <f>IFERROR((VLOOKUP(B255, Roccia!$B$2:$D997, 3, FALSE) /(1-Datos!$E$1)), "Revisar")</f>
        <v>1023.171429</v>
      </c>
      <c r="H255" s="13">
        <f>IFERROR(G255*Datos!$B$3, "Revisar")</f>
        <v>1534.757143</v>
      </c>
      <c r="I255" s="13">
        <f t="shared" si="1"/>
        <v>245.5611429</v>
      </c>
    </row>
    <row r="256">
      <c r="A256" s="8" t="s">
        <v>485</v>
      </c>
      <c r="B256" s="9" t="s">
        <v>532</v>
      </c>
      <c r="C256" s="10" t="s">
        <v>533</v>
      </c>
      <c r="D256" s="11">
        <f>IFERROR((VLOOKUP(B256, Roccia!$B$2:$D997, 3, FALSE)*(1+Datos!$E$2)), "Revisar")</f>
        <v>621.312</v>
      </c>
      <c r="E256" s="11">
        <f>IFERROR(D256*Datos!$B$3, "Revisar")</f>
        <v>931.968</v>
      </c>
      <c r="F256" s="12">
        <f>IFERROR(E256*Datos!$B$1, "Revisar")</f>
        <v>538254.4837</v>
      </c>
      <c r="G256" s="13">
        <f>IFERROR((VLOOKUP(B256, Roccia!$B$2:$D997, 3, FALSE) /(1-Datos!$E$1)), "Revisar")</f>
        <v>739.6571429</v>
      </c>
      <c r="H256" s="13">
        <f>IFERROR(G256*Datos!$B$3, "Revisar")</f>
        <v>1109.485714</v>
      </c>
      <c r="I256" s="13">
        <f t="shared" si="1"/>
        <v>177.5177143</v>
      </c>
    </row>
    <row r="257">
      <c r="A257" s="8" t="s">
        <v>485</v>
      </c>
      <c r="B257" s="9" t="s">
        <v>534</v>
      </c>
      <c r="C257" s="10" t="s">
        <v>535</v>
      </c>
      <c r="D257" s="11">
        <f>IFERROR((VLOOKUP(B257, Roccia!$B$2:$D997, 3, FALSE)*(1+Datos!$E$2)), "Revisar")</f>
        <v>788.676</v>
      </c>
      <c r="E257" s="11">
        <f>IFERROR(D257*Datos!$B$3, "Revisar")</f>
        <v>1183.014</v>
      </c>
      <c r="F257" s="12">
        <f>IFERROR(E257*Datos!$B$1, "Revisar")</f>
        <v>683245.1219</v>
      </c>
      <c r="G257" s="13">
        <f>IFERROR((VLOOKUP(B257, Roccia!$B$2:$D997, 3, FALSE) /(1-Datos!$E$1)), "Revisar")</f>
        <v>938.9</v>
      </c>
      <c r="H257" s="13">
        <f>IFERROR(G257*Datos!$B$3, "Revisar")</f>
        <v>1408.35</v>
      </c>
      <c r="I257" s="13">
        <f t="shared" si="1"/>
        <v>225.336</v>
      </c>
    </row>
    <row r="258">
      <c r="A258" s="8" t="s">
        <v>485</v>
      </c>
      <c r="B258" s="9" t="s">
        <v>536</v>
      </c>
      <c r="C258" s="10" t="s">
        <v>537</v>
      </c>
      <c r="D258" s="11">
        <f>IFERROR((VLOOKUP(B258, Roccia!$B$2:$D997, 3, FALSE)*(1+Datos!$E$2)), "Revisar")</f>
        <v>2220</v>
      </c>
      <c r="E258" s="11">
        <f>IFERROR(D258*Datos!$B$3, "Revisar")</f>
        <v>3330</v>
      </c>
      <c r="F258" s="12">
        <f>IFERROR(E258*Datos!$B$1, "Revisar")</f>
        <v>1923228.513</v>
      </c>
      <c r="G258" s="13">
        <f>IFERROR((VLOOKUP(B258, Roccia!$B$2:$D997, 3, FALSE) /(1-Datos!$E$1)), "Revisar")</f>
        <v>2642.857143</v>
      </c>
      <c r="H258" s="13">
        <f>IFERROR(G258*Datos!$B$3, "Revisar")</f>
        <v>3964.285714</v>
      </c>
      <c r="I258" s="13">
        <f t="shared" si="1"/>
        <v>634.2857143</v>
      </c>
    </row>
    <row r="259">
      <c r="A259" s="8" t="s">
        <v>485</v>
      </c>
      <c r="B259" s="9" t="s">
        <v>538</v>
      </c>
      <c r="C259" s="10" t="s">
        <v>539</v>
      </c>
      <c r="D259" s="11">
        <f>IFERROR((VLOOKUP(B259, Roccia!$B$2:$D997, 3, FALSE)*(1+Datos!$E$2)), "Revisar")</f>
        <v>2340</v>
      </c>
      <c r="E259" s="11">
        <f>IFERROR(D259*Datos!$B$3, "Revisar")</f>
        <v>3510</v>
      </c>
      <c r="F259" s="12">
        <f>IFERROR(E259*Datos!$B$1, "Revisar")</f>
        <v>2027186.811</v>
      </c>
      <c r="G259" s="13">
        <f>IFERROR((VLOOKUP(B259, Roccia!$B$2:$D997, 3, FALSE) /(1-Datos!$E$1)), "Revisar")</f>
        <v>2785.714286</v>
      </c>
      <c r="H259" s="13">
        <f>IFERROR(G259*Datos!$B$3, "Revisar")</f>
        <v>4178.571429</v>
      </c>
      <c r="I259" s="13">
        <f t="shared" si="1"/>
        <v>668.5714286</v>
      </c>
    </row>
    <row r="260">
      <c r="A260" s="8" t="s">
        <v>485</v>
      </c>
      <c r="B260" s="9" t="s">
        <v>540</v>
      </c>
      <c r="C260" s="10" t="s">
        <v>541</v>
      </c>
      <c r="D260" s="11">
        <f>IFERROR((VLOOKUP(B260, Roccia!$B$2:$D997, 3, FALSE)*(1+Datos!$E$2)), "Revisar")</f>
        <v>5940.756</v>
      </c>
      <c r="E260" s="11">
        <f>IFERROR(D260*Datos!$B$3, "Revisar")</f>
        <v>8911.134</v>
      </c>
      <c r="F260" s="12">
        <f>IFERROR(E260*Datos!$B$1, "Revisar")</f>
        <v>5146590.688</v>
      </c>
      <c r="G260" s="13">
        <f>IFERROR((VLOOKUP(B260, Roccia!$B$2:$D997, 3, FALSE) /(1-Datos!$E$1)), "Revisar")</f>
        <v>7072.328571</v>
      </c>
      <c r="H260" s="13">
        <f>IFERROR(G260*Datos!$B$3, "Revisar")</f>
        <v>10608.49286</v>
      </c>
      <c r="I260" s="13">
        <f t="shared" si="1"/>
        <v>1697.358857</v>
      </c>
    </row>
    <row r="261">
      <c r="A261" s="8" t="s">
        <v>485</v>
      </c>
      <c r="B261" s="9" t="s">
        <v>542</v>
      </c>
      <c r="C261" s="10" t="s">
        <v>543</v>
      </c>
      <c r="D261" s="11">
        <f>IFERROR((VLOOKUP(B261, Roccia!$B$2:$D997, 3, FALSE)*(1+Datos!$E$2)), "Revisar")</f>
        <v>5344.248</v>
      </c>
      <c r="E261" s="11">
        <f>IFERROR(D261*Datos!$B$3, "Revisar")</f>
        <v>8016.372</v>
      </c>
      <c r="F261" s="12">
        <f>IFERROR(E261*Datos!$B$1, "Revisar")</f>
        <v>4629824.385</v>
      </c>
      <c r="G261" s="13">
        <f>IFERROR((VLOOKUP(B261, Roccia!$B$2:$D997, 3, FALSE) /(1-Datos!$E$1)), "Revisar")</f>
        <v>6362.2</v>
      </c>
      <c r="H261" s="13">
        <f>IFERROR(G261*Datos!$B$3, "Revisar")</f>
        <v>9543.3</v>
      </c>
      <c r="I261" s="13">
        <f t="shared" si="1"/>
        <v>1526.928</v>
      </c>
    </row>
    <row r="262">
      <c r="A262" s="8" t="s">
        <v>485</v>
      </c>
      <c r="B262" s="9" t="s">
        <v>544</v>
      </c>
      <c r="C262" s="10" t="s">
        <v>545</v>
      </c>
      <c r="D262" s="11">
        <f>IFERROR((VLOOKUP(B262, Roccia!$B$2:$D997, 3, FALSE)*(1+Datos!$E$2)), "Revisar")</f>
        <v>4628.628</v>
      </c>
      <c r="E262" s="11">
        <f>IFERROR(D262*Datos!$B$3, "Revisar")</f>
        <v>6942.942</v>
      </c>
      <c r="F262" s="12">
        <f>IFERROR(E262*Datos!$B$1, "Revisar")</f>
        <v>4009869.075</v>
      </c>
      <c r="G262" s="13">
        <f>IFERROR((VLOOKUP(B262, Roccia!$B$2:$D997, 3, FALSE) /(1-Datos!$E$1)), "Revisar")</f>
        <v>5510.271429</v>
      </c>
      <c r="H262" s="13">
        <f>IFERROR(G262*Datos!$B$3, "Revisar")</f>
        <v>8265.407143</v>
      </c>
      <c r="I262" s="13">
        <f t="shared" si="1"/>
        <v>1322.465143</v>
      </c>
    </row>
    <row r="263">
      <c r="A263" s="8" t="s">
        <v>485</v>
      </c>
      <c r="B263" s="9" t="s">
        <v>546</v>
      </c>
      <c r="C263" s="10" t="s">
        <v>547</v>
      </c>
      <c r="D263" s="11">
        <f>IFERROR((VLOOKUP(B263, Roccia!$B$2:$D997, 3, FALSE)*(1+Datos!$E$2)), "Revisar")</f>
        <v>95.016</v>
      </c>
      <c r="E263" s="11">
        <f>IFERROR(D263*Datos!$B$3, "Revisar")</f>
        <v>142.524</v>
      </c>
      <c r="F263" s="12">
        <f>IFERROR(E263*Datos!$B$1, "Revisar")</f>
        <v>82314.18036</v>
      </c>
      <c r="G263" s="13">
        <f>IFERROR((VLOOKUP(B263, Roccia!$B$2:$D997, 3, FALSE) /(1-Datos!$E$1)), "Revisar")</f>
        <v>113.1142857</v>
      </c>
      <c r="H263" s="13">
        <f>IFERROR(G263*Datos!$B$3, "Revisar")</f>
        <v>169.6714286</v>
      </c>
      <c r="I263" s="13">
        <f t="shared" si="1"/>
        <v>27.14742857</v>
      </c>
    </row>
    <row r="264">
      <c r="A264" s="8" t="s">
        <v>485</v>
      </c>
      <c r="B264" s="9" t="s">
        <v>548</v>
      </c>
      <c r="C264" s="10" t="s">
        <v>549</v>
      </c>
      <c r="D264" s="11">
        <f>IFERROR((VLOOKUP(B264, Roccia!$B$2:$D997, 3, FALSE)*(1+Datos!$E$2)), "Revisar")</f>
        <v>1324.308</v>
      </c>
      <c r="E264" s="11">
        <f>IFERROR(D264*Datos!$B$3, "Revisar")</f>
        <v>1986.462</v>
      </c>
      <c r="F264" s="12">
        <f>IFERROR(E264*Datos!$B$1, "Revisar")</f>
        <v>1147273.381</v>
      </c>
      <c r="G264" s="13">
        <f>IFERROR((VLOOKUP(B264, Roccia!$B$2:$D997, 3, FALSE) /(1-Datos!$E$1)), "Revisar")</f>
        <v>1576.557143</v>
      </c>
      <c r="H264" s="13">
        <f>IFERROR(G264*Datos!$B$3, "Revisar")</f>
        <v>2364.835714</v>
      </c>
      <c r="I264" s="13">
        <f t="shared" si="1"/>
        <v>378.3737143</v>
      </c>
    </row>
    <row r="265">
      <c r="A265" s="8" t="s">
        <v>485</v>
      </c>
      <c r="B265" s="9" t="s">
        <v>550</v>
      </c>
      <c r="C265" s="10" t="s">
        <v>551</v>
      </c>
      <c r="D265" s="11">
        <f>IFERROR((VLOOKUP(B265, Roccia!$B$2:$D997, 3, FALSE)*(1+Datos!$E$2)), "Revisar")</f>
        <v>879.576</v>
      </c>
      <c r="E265" s="11">
        <f>IFERROR(D265*Datos!$B$3, "Revisar")</f>
        <v>1319.364</v>
      </c>
      <c r="F265" s="12">
        <f>IFERROR(E265*Datos!$B$1, "Revisar")</f>
        <v>761993.5327</v>
      </c>
      <c r="G265" s="13">
        <f>IFERROR((VLOOKUP(B265, Roccia!$B$2:$D997, 3, FALSE) /(1-Datos!$E$1)), "Revisar")</f>
        <v>1047.114286</v>
      </c>
      <c r="H265" s="13">
        <f>IFERROR(G265*Datos!$B$3, "Revisar")</f>
        <v>1570.671429</v>
      </c>
      <c r="I265" s="13">
        <f t="shared" si="1"/>
        <v>251.3074286</v>
      </c>
    </row>
    <row r="266">
      <c r="A266" s="8" t="s">
        <v>485</v>
      </c>
      <c r="B266" s="9" t="s">
        <v>552</v>
      </c>
      <c r="C266" s="10" t="s">
        <v>553</v>
      </c>
      <c r="D266" s="11">
        <f>IFERROR((VLOOKUP(B266, Roccia!$B$2:$D997, 3, FALSE)*(1+Datos!$E$2)), "Revisar")</f>
        <v>2745.132</v>
      </c>
      <c r="E266" s="11">
        <f>IFERROR(D266*Datos!$B$3, "Revisar")</f>
        <v>4117.698</v>
      </c>
      <c r="F266" s="12">
        <f>IFERROR(E266*Datos!$B$1, "Revisar")</f>
        <v>2378160.421</v>
      </c>
      <c r="G266" s="13">
        <f>IFERROR((VLOOKUP(B266, Roccia!$B$2:$D997, 3, FALSE) /(1-Datos!$E$1)), "Revisar")</f>
        <v>3268.014286</v>
      </c>
      <c r="H266" s="13">
        <f>IFERROR(G266*Datos!$B$3, "Revisar")</f>
        <v>4902.021429</v>
      </c>
      <c r="I266" s="13">
        <f t="shared" si="1"/>
        <v>784.3234286</v>
      </c>
    </row>
    <row r="267">
      <c r="A267" s="8" t="s">
        <v>485</v>
      </c>
      <c r="B267" s="9" t="s">
        <v>554</v>
      </c>
      <c r="C267" s="10" t="s">
        <v>555</v>
      </c>
      <c r="D267" s="11">
        <f>IFERROR((VLOOKUP(B267, Roccia!$B$2:$D997, 3, FALSE)*(1+Datos!$E$2)), "Revisar")</f>
        <v>2850.36</v>
      </c>
      <c r="E267" s="11">
        <f>IFERROR(D267*Datos!$B$3, "Revisar")</f>
        <v>4275.54</v>
      </c>
      <c r="F267" s="12">
        <f>IFERROR(E267*Datos!$B$1, "Revisar")</f>
        <v>2469321.452</v>
      </c>
      <c r="G267" s="13">
        <f>IFERROR((VLOOKUP(B267, Roccia!$B$2:$D997, 3, FALSE) /(1-Datos!$E$1)), "Revisar")</f>
        <v>3393.285714</v>
      </c>
      <c r="H267" s="13">
        <f>IFERROR(G267*Datos!$B$3, "Revisar")</f>
        <v>5089.928571</v>
      </c>
      <c r="I267" s="13">
        <f t="shared" si="1"/>
        <v>814.3885714</v>
      </c>
    </row>
    <row r="268">
      <c r="A268" s="8" t="s">
        <v>485</v>
      </c>
      <c r="B268" s="9" t="s">
        <v>556</v>
      </c>
      <c r="C268" s="10" t="s">
        <v>557</v>
      </c>
      <c r="D268" s="11">
        <f>IFERROR((VLOOKUP(B268, Roccia!$B$2:$D997, 3, FALSE)*(1+Datos!$E$2)), "Revisar")</f>
        <v>90.624</v>
      </c>
      <c r="E268" s="11">
        <f>IFERROR(D268*Datos!$B$3, "Revisar")</f>
        <v>135.936</v>
      </c>
      <c r="F268" s="12">
        <f>IFERROR(E268*Datos!$B$1, "Revisar")</f>
        <v>78509.30665</v>
      </c>
      <c r="G268" s="13">
        <f>IFERROR((VLOOKUP(B268, Roccia!$B$2:$D997, 3, FALSE) /(1-Datos!$E$1)), "Revisar")</f>
        <v>107.8857143</v>
      </c>
      <c r="H268" s="13">
        <f>IFERROR(G268*Datos!$B$3, "Revisar")</f>
        <v>161.8285714</v>
      </c>
      <c r="I268" s="13">
        <f t="shared" si="1"/>
        <v>25.89257143</v>
      </c>
    </row>
    <row r="269">
      <c r="A269" s="8" t="s">
        <v>485</v>
      </c>
      <c r="B269" s="9" t="s">
        <v>558</v>
      </c>
      <c r="C269" s="10" t="s">
        <v>559</v>
      </c>
      <c r="D269" s="11">
        <f>IFERROR((VLOOKUP(B269, Roccia!$B$2:$D997, 3, FALSE)*(1+Datos!$E$2)), "Revisar")</f>
        <v>121.38</v>
      </c>
      <c r="E269" s="11">
        <f>IFERROR(D269*Datos!$B$3, "Revisar")</f>
        <v>182.07</v>
      </c>
      <c r="F269" s="12">
        <f>IFERROR(E269*Datos!$B$1, "Revisar")</f>
        <v>105153.8184</v>
      </c>
      <c r="G269" s="13">
        <f>IFERROR((VLOOKUP(B269, Roccia!$B$2:$D997, 3, FALSE) /(1-Datos!$E$1)), "Revisar")</f>
        <v>144.5</v>
      </c>
      <c r="H269" s="13">
        <f>IFERROR(G269*Datos!$B$3, "Revisar")</f>
        <v>216.75</v>
      </c>
      <c r="I269" s="13">
        <f t="shared" si="1"/>
        <v>34.68</v>
      </c>
    </row>
    <row r="270">
      <c r="A270" s="8" t="s">
        <v>485</v>
      </c>
      <c r="B270" s="9" t="s">
        <v>560</v>
      </c>
      <c r="C270" s="10" t="s">
        <v>561</v>
      </c>
      <c r="D270" s="11">
        <f>IFERROR((VLOOKUP(B270, Roccia!$B$2:$D997, 3, FALSE)*(1+Datos!$E$2)), "Revisar")</f>
        <v>1537.956</v>
      </c>
      <c r="E270" s="11">
        <f>IFERROR(D270*Datos!$B$3, "Revisar")</f>
        <v>2306.934</v>
      </c>
      <c r="F270" s="12">
        <f>IFERROR(E270*Datos!$B$1, "Revisar")</f>
        <v>1332360.735</v>
      </c>
      <c r="G270" s="13">
        <f>IFERROR((VLOOKUP(B270, Roccia!$B$2:$D997, 3, FALSE) /(1-Datos!$E$1)), "Revisar")</f>
        <v>1830.9</v>
      </c>
      <c r="H270" s="13">
        <f>IFERROR(G270*Datos!$B$3, "Revisar")</f>
        <v>2746.35</v>
      </c>
      <c r="I270" s="13">
        <f t="shared" si="1"/>
        <v>439.416</v>
      </c>
    </row>
    <row r="271">
      <c r="A271" s="8" t="s">
        <v>485</v>
      </c>
      <c r="B271" s="9" t="s">
        <v>562</v>
      </c>
      <c r="C271" s="10" t="s">
        <v>563</v>
      </c>
      <c r="D271" s="11">
        <f>IFERROR((VLOOKUP(B271, Roccia!$B$2:$D997, 3, FALSE)*(1+Datos!$E$2)), "Revisar")</f>
        <v>2272.764</v>
      </c>
      <c r="E271" s="11">
        <f>IFERROR(D271*Datos!$B$3, "Revisar")</f>
        <v>3409.146</v>
      </c>
      <c r="F271" s="12">
        <f>IFERROR(E271*Datos!$B$1, "Revisar")</f>
        <v>1968938.977</v>
      </c>
      <c r="G271" s="13">
        <f>IFERROR((VLOOKUP(B271, Roccia!$B$2:$D997, 3, FALSE) /(1-Datos!$E$1)), "Revisar")</f>
        <v>2705.671429</v>
      </c>
      <c r="H271" s="13">
        <f>IFERROR(G271*Datos!$B$3, "Revisar")</f>
        <v>4058.507143</v>
      </c>
      <c r="I271" s="13">
        <f t="shared" si="1"/>
        <v>649.3611429</v>
      </c>
    </row>
    <row r="272">
      <c r="A272" s="8" t="s">
        <v>485</v>
      </c>
      <c r="B272" s="9" t="s">
        <v>564</v>
      </c>
      <c r="C272" s="10" t="s">
        <v>565</v>
      </c>
      <c r="D272" s="11">
        <f>IFERROR((VLOOKUP(B272, Roccia!$B$2:$D997, 3, FALSE)*(1+Datos!$E$2)), "Revisar")</f>
        <v>1747.356</v>
      </c>
      <c r="E272" s="11">
        <f>IFERROR(D272*Datos!$B$3, "Revisar")</f>
        <v>2621.034</v>
      </c>
      <c r="F272" s="12">
        <f>IFERROR(E272*Datos!$B$1, "Revisar")</f>
        <v>1513767.965</v>
      </c>
      <c r="G272" s="13">
        <f>IFERROR((VLOOKUP(B272, Roccia!$B$2:$D997, 3, FALSE) /(1-Datos!$E$1)), "Revisar")</f>
        <v>2080.185714</v>
      </c>
      <c r="H272" s="13">
        <f>IFERROR(G272*Datos!$B$3, "Revisar")</f>
        <v>3120.278571</v>
      </c>
      <c r="I272" s="13">
        <f t="shared" si="1"/>
        <v>499.2445714</v>
      </c>
    </row>
    <row r="273">
      <c r="A273" s="8" t="s">
        <v>485</v>
      </c>
      <c r="B273" s="9" t="s">
        <v>566</v>
      </c>
      <c r="C273" s="10" t="s">
        <v>567</v>
      </c>
      <c r="D273" s="11">
        <f>IFERROR((VLOOKUP(B273, Roccia!$B$2:$D997, 3, FALSE)*(1+Datos!$E$2)), "Revisar")</f>
        <v>120.576</v>
      </c>
      <c r="E273" s="11">
        <f>IFERROR(D273*Datos!$B$3, "Revisar")</f>
        <v>180.864</v>
      </c>
      <c r="F273" s="12">
        <f>IFERROR(E273*Datos!$B$1, "Revisar")</f>
        <v>104457.2978</v>
      </c>
      <c r="G273" s="13">
        <f>IFERROR((VLOOKUP(B273, Roccia!$B$2:$D997, 3, FALSE) /(1-Datos!$E$1)), "Revisar")</f>
        <v>143.5428571</v>
      </c>
      <c r="H273" s="13">
        <f>IFERROR(G273*Datos!$B$3, "Revisar")</f>
        <v>215.3142857</v>
      </c>
      <c r="I273" s="13">
        <f t="shared" si="1"/>
        <v>34.45028571</v>
      </c>
    </row>
    <row r="274">
      <c r="A274" s="8" t="s">
        <v>485</v>
      </c>
      <c r="B274" s="9" t="s">
        <v>568</v>
      </c>
      <c r="C274" s="10" t="s">
        <v>569</v>
      </c>
      <c r="D274" s="11">
        <f>IFERROR((VLOOKUP(B274, Roccia!$B$2:$D997, 3, FALSE)*(1+Datos!$E$2)), "Revisar")</f>
        <v>120.576</v>
      </c>
      <c r="E274" s="11">
        <f>IFERROR(D274*Datos!$B$3, "Revisar")</f>
        <v>180.864</v>
      </c>
      <c r="F274" s="12">
        <f>IFERROR(E274*Datos!$B$1, "Revisar")</f>
        <v>104457.2978</v>
      </c>
      <c r="G274" s="13">
        <f>IFERROR((VLOOKUP(B274, Roccia!$B$2:$D997, 3, FALSE) /(1-Datos!$E$1)), "Revisar")</f>
        <v>143.5428571</v>
      </c>
      <c r="H274" s="13">
        <f>IFERROR(G274*Datos!$B$3, "Revisar")</f>
        <v>215.3142857</v>
      </c>
      <c r="I274" s="13">
        <f t="shared" si="1"/>
        <v>34.45028571</v>
      </c>
    </row>
    <row r="275">
      <c r="A275" s="8" t="s">
        <v>485</v>
      </c>
      <c r="B275" s="9" t="s">
        <v>570</v>
      </c>
      <c r="C275" s="10" t="s">
        <v>571</v>
      </c>
      <c r="D275" s="11">
        <f>IFERROR((VLOOKUP(B275, Roccia!$B$2:$D997, 3, FALSE)*(1+Datos!$E$2)), "Revisar")</f>
        <v>1593.192</v>
      </c>
      <c r="E275" s="11">
        <f>IFERROR(D275*Datos!$B$3, "Revisar")</f>
        <v>2389.788</v>
      </c>
      <c r="F275" s="12">
        <f>IFERROR(E275*Datos!$B$1, "Revisar")</f>
        <v>1380212.739</v>
      </c>
      <c r="G275" s="13">
        <f>IFERROR((VLOOKUP(B275, Roccia!$B$2:$D997, 3, FALSE) /(1-Datos!$E$1)), "Revisar")</f>
        <v>1896.657143</v>
      </c>
      <c r="H275" s="13">
        <f>IFERROR(G275*Datos!$B$3, "Revisar")</f>
        <v>2844.985714</v>
      </c>
      <c r="I275" s="13">
        <f t="shared" si="1"/>
        <v>455.1977143</v>
      </c>
    </row>
    <row r="276">
      <c r="A276" s="8" t="s">
        <v>485</v>
      </c>
      <c r="B276" s="9" t="s">
        <v>572</v>
      </c>
      <c r="C276" s="10" t="s">
        <v>573</v>
      </c>
      <c r="D276" s="11">
        <f>IFERROR((VLOOKUP(B276, Roccia!$B$2:$D997, 3, FALSE)*(1+Datos!$E$2)), "Revisar")</f>
        <v>3280.188</v>
      </c>
      <c r="E276" s="11">
        <f>IFERROR(D276*Datos!$B$3, "Revisar")</f>
        <v>4920.282</v>
      </c>
      <c r="F276" s="12">
        <f>IFERROR(E276*Datos!$B$1, "Revisar")</f>
        <v>2841689.68</v>
      </c>
      <c r="G276" s="13">
        <f>IFERROR((VLOOKUP(B276, Roccia!$B$2:$D997, 3, FALSE) /(1-Datos!$E$1)), "Revisar")</f>
        <v>3904.985714</v>
      </c>
      <c r="H276" s="13">
        <f>IFERROR(G276*Datos!$B$3, "Revisar")</f>
        <v>5857.478571</v>
      </c>
      <c r="I276" s="13">
        <f t="shared" si="1"/>
        <v>937.1965714</v>
      </c>
    </row>
    <row r="277">
      <c r="A277" s="8" t="s">
        <v>485</v>
      </c>
      <c r="B277" s="9" t="s">
        <v>574</v>
      </c>
      <c r="C277" s="10" t="s">
        <v>575</v>
      </c>
      <c r="D277" s="11">
        <f>IFERROR((VLOOKUP(B277, Roccia!$B$2:$D997, 3, FALSE)*(1+Datos!$E$2)), "Revisar")</f>
        <v>1529.424</v>
      </c>
      <c r="E277" s="11">
        <f>IFERROR(D277*Datos!$B$3, "Revisar")</f>
        <v>2294.136</v>
      </c>
      <c r="F277" s="12">
        <f>IFERROR(E277*Datos!$B$1, "Revisar")</f>
        <v>1324969.3</v>
      </c>
      <c r="G277" s="13">
        <f>IFERROR((VLOOKUP(B277, Roccia!$B$2:$D997, 3, FALSE) /(1-Datos!$E$1)), "Revisar")</f>
        <v>1820.742857</v>
      </c>
      <c r="H277" s="13">
        <f>IFERROR(G277*Datos!$B$3, "Revisar")</f>
        <v>2731.114286</v>
      </c>
      <c r="I277" s="13">
        <f t="shared" si="1"/>
        <v>436.9782857</v>
      </c>
    </row>
    <row r="278">
      <c r="A278" s="8" t="s">
        <v>485</v>
      </c>
      <c r="B278" s="9" t="s">
        <v>576</v>
      </c>
      <c r="C278" s="10" t="s">
        <v>577</v>
      </c>
      <c r="D278" s="11">
        <f>IFERROR((VLOOKUP(B278, Roccia!$B$2:$D997, 3, FALSE)*(1+Datos!$E$2)), "Revisar")</f>
        <v>113.784</v>
      </c>
      <c r="E278" s="11">
        <f>IFERROR(D278*Datos!$B$3, "Revisar")</f>
        <v>170.676</v>
      </c>
      <c r="F278" s="12">
        <f>IFERROR(E278*Datos!$B$1, "Revisar")</f>
        <v>98573.25816</v>
      </c>
      <c r="G278" s="13">
        <f>IFERROR((VLOOKUP(B278, Roccia!$B$2:$D997, 3, FALSE) /(1-Datos!$E$1)), "Revisar")</f>
        <v>135.4571429</v>
      </c>
      <c r="H278" s="13">
        <f>IFERROR(G278*Datos!$B$3, "Revisar")</f>
        <v>203.1857143</v>
      </c>
      <c r="I278" s="13">
        <f t="shared" si="1"/>
        <v>32.50971429</v>
      </c>
    </row>
    <row r="279">
      <c r="A279" s="8" t="s">
        <v>485</v>
      </c>
      <c r="B279" s="9" t="s">
        <v>578</v>
      </c>
      <c r="C279" s="10" t="s">
        <v>579</v>
      </c>
      <c r="D279" s="11">
        <f>IFERROR((VLOOKUP(B279, Roccia!$B$2:$D997, 3, FALSE)*(1+Datos!$E$2)), "Revisar")</f>
        <v>46.272</v>
      </c>
      <c r="E279" s="11">
        <f>IFERROR(D279*Datos!$B$3, "Revisar")</f>
        <v>69.408</v>
      </c>
      <c r="F279" s="12">
        <f>IFERROR(E279*Datos!$B$1, "Revisar")</f>
        <v>40086.31971</v>
      </c>
      <c r="G279" s="13">
        <f>IFERROR((VLOOKUP(B279, Roccia!$B$2:$D997, 3, FALSE) /(1-Datos!$E$1)), "Revisar")</f>
        <v>55.08571429</v>
      </c>
      <c r="H279" s="13">
        <f>IFERROR(G279*Datos!$B$3, "Revisar")</f>
        <v>82.62857143</v>
      </c>
      <c r="I279" s="13">
        <f t="shared" si="1"/>
        <v>13.22057143</v>
      </c>
    </row>
    <row r="280">
      <c r="A280" s="8" t="s">
        <v>485</v>
      </c>
      <c r="B280" s="9" t="s">
        <v>580</v>
      </c>
      <c r="C280" s="10" t="s">
        <v>581</v>
      </c>
      <c r="D280" s="11">
        <f>IFERROR((VLOOKUP(B280, Roccia!$B$2:$D997, 3, FALSE)*(1+Datos!$E$2)), "Revisar")</f>
        <v>91.08</v>
      </c>
      <c r="E280" s="11">
        <f>IFERROR(D280*Datos!$B$3, "Revisar")</f>
        <v>136.62</v>
      </c>
      <c r="F280" s="12">
        <f>IFERROR(E280*Datos!$B$1, "Revisar")</f>
        <v>78904.34818</v>
      </c>
      <c r="G280" s="13">
        <f>IFERROR((VLOOKUP(B280, Roccia!$B$2:$D997, 3, FALSE) /(1-Datos!$E$1)), "Revisar")</f>
        <v>108.4285714</v>
      </c>
      <c r="H280" s="13">
        <f>IFERROR(G280*Datos!$B$3, "Revisar")</f>
        <v>162.6428571</v>
      </c>
      <c r="I280" s="13">
        <f t="shared" si="1"/>
        <v>26.02285714</v>
      </c>
    </row>
    <row r="281">
      <c r="A281" s="8" t="s">
        <v>485</v>
      </c>
      <c r="B281" s="9" t="s">
        <v>582</v>
      </c>
      <c r="C281" s="10" t="s">
        <v>583</v>
      </c>
      <c r="D281" s="11">
        <f>IFERROR((VLOOKUP(B281, Roccia!$B$2:$D997, 3, FALSE)*(1+Datos!$E$2)), "Revisar")</f>
        <v>3827.556</v>
      </c>
      <c r="E281" s="11">
        <f>IFERROR(D281*Datos!$B$3, "Revisar")</f>
        <v>5741.334</v>
      </c>
      <c r="F281" s="12">
        <f>IFERROR(E281*Datos!$B$1, "Revisar")</f>
        <v>3315885.06</v>
      </c>
      <c r="G281" s="13">
        <f>IFERROR((VLOOKUP(B281, Roccia!$B$2:$D997, 3, FALSE) /(1-Datos!$E$1)), "Revisar")</f>
        <v>4556.614286</v>
      </c>
      <c r="H281" s="13">
        <f>IFERROR(G281*Datos!$B$3, "Revisar")</f>
        <v>6834.921429</v>
      </c>
      <c r="I281" s="13">
        <f t="shared" si="1"/>
        <v>1093.587429</v>
      </c>
    </row>
    <row r="282">
      <c r="A282" s="8" t="s">
        <v>485</v>
      </c>
      <c r="B282" s="9" t="s">
        <v>584</v>
      </c>
      <c r="C282" s="10" t="s">
        <v>585</v>
      </c>
      <c r="D282" s="11">
        <f>IFERROR((VLOOKUP(B282, Roccia!$B$2:$D997, 3, FALSE)*(1+Datos!$E$2)), "Revisar")</f>
        <v>4443.6</v>
      </c>
      <c r="E282" s="11">
        <f>IFERROR(D282*Datos!$B$3, "Revisar")</f>
        <v>6665.4</v>
      </c>
      <c r="F282" s="12">
        <f>IFERROR(E282*Datos!$B$1, "Revisar")</f>
        <v>3849575.775</v>
      </c>
      <c r="G282" s="13">
        <f>IFERROR((VLOOKUP(B282, Roccia!$B$2:$D997, 3, FALSE) /(1-Datos!$E$1)), "Revisar")</f>
        <v>5290</v>
      </c>
      <c r="H282" s="13">
        <f>IFERROR(G282*Datos!$B$3, "Revisar")</f>
        <v>7935</v>
      </c>
      <c r="I282" s="13">
        <f t="shared" si="1"/>
        <v>1269.6</v>
      </c>
    </row>
    <row r="283">
      <c r="A283" s="8" t="s">
        <v>485</v>
      </c>
      <c r="B283" s="9" t="s">
        <v>586</v>
      </c>
      <c r="C283" s="10" t="s">
        <v>587</v>
      </c>
      <c r="D283" s="11">
        <f>IFERROR((VLOOKUP(B283, Roccia!$B$2:$D997, 3, FALSE)*(1+Datos!$E$2)), "Revisar")</f>
        <v>1184.04</v>
      </c>
      <c r="E283" s="11">
        <f>IFERROR(D283*Datos!$B$3, "Revisar")</f>
        <v>1776.06</v>
      </c>
      <c r="F283" s="12">
        <f>IFERROR(E283*Datos!$B$1, "Revisar")</f>
        <v>1025756.526</v>
      </c>
      <c r="G283" s="13">
        <f>IFERROR((VLOOKUP(B283, Roccia!$B$2:$D997, 3, FALSE) /(1-Datos!$E$1)), "Revisar")</f>
        <v>1409.571429</v>
      </c>
      <c r="H283" s="13">
        <f>IFERROR(G283*Datos!$B$3, "Revisar")</f>
        <v>2114.357143</v>
      </c>
      <c r="I283" s="13">
        <f t="shared" si="1"/>
        <v>338.2971429</v>
      </c>
    </row>
    <row r="284">
      <c r="A284" s="8" t="s">
        <v>485</v>
      </c>
      <c r="B284" s="9" t="s">
        <v>588</v>
      </c>
      <c r="C284" s="10" t="s">
        <v>589</v>
      </c>
      <c r="D284" s="11">
        <f>IFERROR((VLOOKUP(B284, Roccia!$B$2:$D997, 3, FALSE)*(1+Datos!$E$2)), "Revisar")</f>
        <v>764.34</v>
      </c>
      <c r="E284" s="11">
        <f>IFERROR(D284*Datos!$B$3, "Revisar")</f>
        <v>1146.51</v>
      </c>
      <c r="F284" s="12">
        <f>IFERROR(E284*Datos!$B$1, "Revisar")</f>
        <v>662162.3791</v>
      </c>
      <c r="G284" s="13">
        <f>IFERROR((VLOOKUP(B284, Roccia!$B$2:$D997, 3, FALSE) /(1-Datos!$E$1)), "Revisar")</f>
        <v>909.9285714</v>
      </c>
      <c r="H284" s="13">
        <f>IFERROR(G284*Datos!$B$3, "Revisar")</f>
        <v>1364.892857</v>
      </c>
      <c r="I284" s="13">
        <f t="shared" si="1"/>
        <v>218.3828571</v>
      </c>
    </row>
    <row r="285">
      <c r="A285" s="8" t="s">
        <v>485</v>
      </c>
      <c r="B285" s="9" t="s">
        <v>590</v>
      </c>
      <c r="C285" s="10" t="s">
        <v>591</v>
      </c>
      <c r="D285" s="11">
        <f>IFERROR((VLOOKUP(B285, Roccia!$B$2:$D997, 3, FALSE)*(1+Datos!$E$2)), "Revisar")</f>
        <v>1459.236</v>
      </c>
      <c r="E285" s="11">
        <f>IFERROR(D285*Datos!$B$3, "Revisar")</f>
        <v>2188.854</v>
      </c>
      <c r="F285" s="12">
        <f>IFERROR(E285*Datos!$B$1, "Revisar")</f>
        <v>1264164.091</v>
      </c>
      <c r="G285" s="13">
        <f>IFERROR((VLOOKUP(B285, Roccia!$B$2:$D997, 3, FALSE) /(1-Datos!$E$1)), "Revisar")</f>
        <v>1737.185714</v>
      </c>
      <c r="H285" s="13">
        <f>IFERROR(G285*Datos!$B$3, "Revisar")</f>
        <v>2605.778571</v>
      </c>
      <c r="I285" s="13">
        <f t="shared" si="1"/>
        <v>416.9245714</v>
      </c>
    </row>
    <row r="286">
      <c r="A286" s="8" t="s">
        <v>485</v>
      </c>
      <c r="B286" s="9" t="s">
        <v>592</v>
      </c>
      <c r="C286" s="10" t="s">
        <v>593</v>
      </c>
      <c r="D286" s="11">
        <f>IFERROR((VLOOKUP(B286, Roccia!$B$2:$D997, 3, FALSE)*(1+Datos!$E$2)), "Revisar")</f>
        <v>1459.236</v>
      </c>
      <c r="E286" s="11">
        <f>IFERROR(D286*Datos!$B$3, "Revisar")</f>
        <v>2188.854</v>
      </c>
      <c r="F286" s="12">
        <f>IFERROR(E286*Datos!$B$1, "Revisar")</f>
        <v>1264164.091</v>
      </c>
      <c r="G286" s="13">
        <f>IFERROR((VLOOKUP(B286, Roccia!$B$2:$D997, 3, FALSE) /(1-Datos!$E$1)), "Revisar")</f>
        <v>1737.185714</v>
      </c>
      <c r="H286" s="13">
        <f>IFERROR(G286*Datos!$B$3, "Revisar")</f>
        <v>2605.778571</v>
      </c>
      <c r="I286" s="13">
        <f t="shared" si="1"/>
        <v>416.9245714</v>
      </c>
    </row>
    <row r="287">
      <c r="A287" s="8" t="s">
        <v>485</v>
      </c>
      <c r="B287" s="9" t="s">
        <v>594</v>
      </c>
      <c r="C287" s="10" t="s">
        <v>595</v>
      </c>
      <c r="D287" s="11">
        <f>IFERROR((VLOOKUP(B287, Roccia!$B$2:$D997, 3, FALSE)*(1+Datos!$E$2)), "Revisar")</f>
        <v>1913.808</v>
      </c>
      <c r="E287" s="11">
        <f>IFERROR(D287*Datos!$B$3, "Revisar")</f>
        <v>2870.712</v>
      </c>
      <c r="F287" s="12">
        <f>IFERROR(E287*Datos!$B$1, "Revisar")</f>
        <v>1657968.52</v>
      </c>
      <c r="G287" s="13">
        <f>IFERROR((VLOOKUP(B287, Roccia!$B$2:$D997, 3, FALSE) /(1-Datos!$E$1)), "Revisar")</f>
        <v>2278.342857</v>
      </c>
      <c r="H287" s="13">
        <f>IFERROR(G287*Datos!$B$3, "Revisar")</f>
        <v>3417.514286</v>
      </c>
      <c r="I287" s="13">
        <f t="shared" si="1"/>
        <v>546.8022857</v>
      </c>
    </row>
    <row r="288">
      <c r="A288" s="8" t="s">
        <v>485</v>
      </c>
      <c r="B288" s="9" t="s">
        <v>596</v>
      </c>
      <c r="C288" s="10" t="s">
        <v>597</v>
      </c>
      <c r="D288" s="11">
        <f>IFERROR((VLOOKUP(B288, Roccia!$B$2:$D997, 3, FALSE)*(1+Datos!$E$2)), "Revisar")</f>
        <v>1008.588</v>
      </c>
      <c r="E288" s="11">
        <f>IFERROR(D288*Datos!$B$3, "Revisar")</f>
        <v>1512.882</v>
      </c>
      <c r="F288" s="12">
        <f>IFERROR(E288*Datos!$B$1, "Revisar")</f>
        <v>873759.0989</v>
      </c>
      <c r="G288" s="13">
        <f>IFERROR((VLOOKUP(B288, Roccia!$B$2:$D997, 3, FALSE) /(1-Datos!$E$1)), "Revisar")</f>
        <v>1200.7</v>
      </c>
      <c r="H288" s="13">
        <f>IFERROR(G288*Datos!$B$3, "Revisar")</f>
        <v>1801.05</v>
      </c>
      <c r="I288" s="13">
        <f t="shared" si="1"/>
        <v>288.168</v>
      </c>
    </row>
    <row r="289">
      <c r="A289" s="8" t="s">
        <v>485</v>
      </c>
      <c r="B289" s="9" t="s">
        <v>598</v>
      </c>
      <c r="C289" s="10" t="s">
        <v>599</v>
      </c>
      <c r="D289" s="11">
        <f>IFERROR((VLOOKUP(B289, Roccia!$B$2:$D997, 3, FALSE)*(1+Datos!$E$2)), "Revisar")</f>
        <v>2094.588</v>
      </c>
      <c r="E289" s="11">
        <f>IFERROR(D289*Datos!$B$3, "Revisar")</f>
        <v>3141.882</v>
      </c>
      <c r="F289" s="12">
        <f>IFERROR(E289*Datos!$B$1, "Revisar")</f>
        <v>1814581.696</v>
      </c>
      <c r="G289" s="13">
        <f>IFERROR((VLOOKUP(B289, Roccia!$B$2:$D997, 3, FALSE) /(1-Datos!$E$1)), "Revisar")</f>
        <v>2493.557143</v>
      </c>
      <c r="H289" s="13">
        <f>IFERROR(G289*Datos!$B$3, "Revisar")</f>
        <v>3740.335714</v>
      </c>
      <c r="I289" s="13">
        <f t="shared" si="1"/>
        <v>598.4537143</v>
      </c>
    </row>
    <row r="290">
      <c r="A290" s="8" t="s">
        <v>485</v>
      </c>
      <c r="B290" s="9" t="s">
        <v>600</v>
      </c>
      <c r="C290" s="10" t="s">
        <v>601</v>
      </c>
      <c r="D290" s="11">
        <f>IFERROR((VLOOKUP(B290, Roccia!$B$2:$D997, 3, FALSE)*(1+Datos!$E$2)), "Revisar")</f>
        <v>524.004</v>
      </c>
      <c r="E290" s="11">
        <f>IFERROR(D290*Datos!$B$3, "Revisar")</f>
        <v>786.006</v>
      </c>
      <c r="F290" s="12">
        <f>IFERROR(E290*Datos!$B$1, "Revisar")</f>
        <v>453954.6999</v>
      </c>
      <c r="G290" s="13">
        <f>IFERROR((VLOOKUP(B290, Roccia!$B$2:$D997, 3, FALSE) /(1-Datos!$E$1)), "Revisar")</f>
        <v>623.8142857</v>
      </c>
      <c r="H290" s="13">
        <f>IFERROR(G290*Datos!$B$3, "Revisar")</f>
        <v>935.7214286</v>
      </c>
      <c r="I290" s="13">
        <f t="shared" si="1"/>
        <v>149.7154286</v>
      </c>
    </row>
    <row r="291">
      <c r="A291" s="8" t="s">
        <v>485</v>
      </c>
      <c r="B291" s="9" t="s">
        <v>602</v>
      </c>
      <c r="C291" s="10" t="s">
        <v>603</v>
      </c>
      <c r="D291" s="11">
        <f>IFERROR((VLOOKUP(B291, Roccia!$B$2:$D997, 3, FALSE)*(1+Datos!$E$2)), "Revisar")</f>
        <v>534.18</v>
      </c>
      <c r="E291" s="11">
        <f>IFERROR(D291*Datos!$B$3, "Revisar")</f>
        <v>801.27</v>
      </c>
      <c r="F291" s="12">
        <f>IFERROR(E291*Datos!$B$1, "Revisar")</f>
        <v>462770.3635</v>
      </c>
      <c r="G291" s="13">
        <f>IFERROR((VLOOKUP(B291, Roccia!$B$2:$D997, 3, FALSE) /(1-Datos!$E$1)), "Revisar")</f>
        <v>635.9285714</v>
      </c>
      <c r="H291" s="13">
        <f>IFERROR(G291*Datos!$B$3, "Revisar")</f>
        <v>953.8928571</v>
      </c>
      <c r="I291" s="13">
        <f t="shared" si="1"/>
        <v>152.6228571</v>
      </c>
    </row>
    <row r="292">
      <c r="A292" s="8" t="s">
        <v>485</v>
      </c>
      <c r="B292" s="9" t="s">
        <v>604</v>
      </c>
      <c r="C292" s="10" t="s">
        <v>605</v>
      </c>
      <c r="D292" s="11">
        <f>IFERROR((VLOOKUP(B292, Roccia!$B$2:$D997, 3, FALSE)*(1+Datos!$E$2)), "Revisar")</f>
        <v>727.404</v>
      </c>
      <c r="E292" s="11">
        <f>IFERROR(D292*Datos!$B$3, "Revisar")</f>
        <v>1091.106</v>
      </c>
      <c r="F292" s="12">
        <f>IFERROR(E292*Datos!$B$1, "Revisar")</f>
        <v>630164.015</v>
      </c>
      <c r="G292" s="13">
        <f>IFERROR((VLOOKUP(B292, Roccia!$B$2:$D997, 3, FALSE) /(1-Datos!$E$1)), "Revisar")</f>
        <v>865.9571429</v>
      </c>
      <c r="H292" s="13">
        <f>IFERROR(G292*Datos!$B$3, "Revisar")</f>
        <v>1298.935714</v>
      </c>
      <c r="I292" s="13">
        <f t="shared" si="1"/>
        <v>207.8297143</v>
      </c>
    </row>
    <row r="293">
      <c r="A293" s="8" t="s">
        <v>485</v>
      </c>
      <c r="B293" s="9" t="s">
        <v>606</v>
      </c>
      <c r="C293" s="10" t="s">
        <v>607</v>
      </c>
      <c r="D293" s="11">
        <f>IFERROR((VLOOKUP(B293, Roccia!$B$2:$D997, 3, FALSE)*(1+Datos!$E$2)), "Revisar")</f>
        <v>741.012</v>
      </c>
      <c r="E293" s="11">
        <f>IFERROR(D293*Datos!$B$3, "Revisar")</f>
        <v>1111.518</v>
      </c>
      <c r="F293" s="12">
        <f>IFERROR(E293*Datos!$B$1, "Revisar")</f>
        <v>641952.886</v>
      </c>
      <c r="G293" s="13">
        <f>IFERROR((VLOOKUP(B293, Roccia!$B$2:$D997, 3, FALSE) /(1-Datos!$E$1)), "Revisar")</f>
        <v>882.1571429</v>
      </c>
      <c r="H293" s="13">
        <f>IFERROR(G293*Datos!$B$3, "Revisar")</f>
        <v>1323.235714</v>
      </c>
      <c r="I293" s="13">
        <f t="shared" si="1"/>
        <v>211.7177143</v>
      </c>
    </row>
    <row r="294">
      <c r="A294" s="8" t="s">
        <v>485</v>
      </c>
      <c r="B294" s="9" t="s">
        <v>608</v>
      </c>
      <c r="C294" s="10" t="s">
        <v>609</v>
      </c>
      <c r="D294" s="11">
        <f>IFERROR((VLOOKUP(B294, Roccia!$B$2:$D997, 3, FALSE)*(1+Datos!$E$2)), "Revisar")</f>
        <v>980.988</v>
      </c>
      <c r="E294" s="11">
        <f>IFERROR(D294*Datos!$B$3, "Revisar")</f>
        <v>1471.482</v>
      </c>
      <c r="F294" s="12">
        <f>IFERROR(E294*Datos!$B$1, "Revisar")</f>
        <v>849848.6903</v>
      </c>
      <c r="G294" s="13">
        <f>IFERROR((VLOOKUP(B294, Roccia!$B$2:$D997, 3, FALSE) /(1-Datos!$E$1)), "Revisar")</f>
        <v>1167.842857</v>
      </c>
      <c r="H294" s="13">
        <f>IFERROR(G294*Datos!$B$3, "Revisar")</f>
        <v>1751.764286</v>
      </c>
      <c r="I294" s="13">
        <f t="shared" si="1"/>
        <v>280.2822857</v>
      </c>
    </row>
    <row r="295">
      <c r="A295" s="8" t="s">
        <v>485</v>
      </c>
      <c r="B295" s="9" t="s">
        <v>610</v>
      </c>
      <c r="C295" s="10" t="s">
        <v>611</v>
      </c>
      <c r="D295" s="11">
        <f>IFERROR((VLOOKUP(B295, Roccia!$B$2:$D997, 3, FALSE)*(1+Datos!$E$2)), "Revisar")</f>
        <v>1241.328</v>
      </c>
      <c r="E295" s="11">
        <f>IFERROR(D295*Datos!$B$3, "Revisar")</f>
        <v>1861.992</v>
      </c>
      <c r="F295" s="12">
        <f>IFERROR(E295*Datos!$B$1, "Revisar")</f>
        <v>1075386.218</v>
      </c>
      <c r="G295" s="13">
        <f>IFERROR((VLOOKUP(B295, Roccia!$B$2:$D997, 3, FALSE) /(1-Datos!$E$1)), "Revisar")</f>
        <v>1477.771429</v>
      </c>
      <c r="H295" s="13">
        <f>IFERROR(G295*Datos!$B$3, "Revisar")</f>
        <v>2216.657143</v>
      </c>
      <c r="I295" s="13">
        <f t="shared" si="1"/>
        <v>354.6651429</v>
      </c>
    </row>
    <row r="296">
      <c r="A296" s="8" t="s">
        <v>485</v>
      </c>
      <c r="B296" s="9" t="s">
        <v>612</v>
      </c>
      <c r="C296" s="10" t="s">
        <v>613</v>
      </c>
      <c r="D296" s="11">
        <f>IFERROR((VLOOKUP(B296, Roccia!$B$2:$D997, 3, FALSE)*(1+Datos!$E$2)), "Revisar")</f>
        <v>481.2</v>
      </c>
      <c r="E296" s="11">
        <f>IFERROR(D296*Datos!$B$3, "Revisar")</f>
        <v>721.8</v>
      </c>
      <c r="F296" s="12">
        <f>IFERROR(E296*Datos!$B$1, "Revisar")</f>
        <v>416872.775</v>
      </c>
      <c r="G296" s="13">
        <f>IFERROR((VLOOKUP(B296, Roccia!$B$2:$D997, 3, FALSE) /(1-Datos!$E$1)), "Revisar")</f>
        <v>572.8571429</v>
      </c>
      <c r="H296" s="13">
        <f>IFERROR(G296*Datos!$B$3, "Revisar")</f>
        <v>859.2857143</v>
      </c>
      <c r="I296" s="13">
        <f t="shared" si="1"/>
        <v>137.4857143</v>
      </c>
    </row>
    <row r="297">
      <c r="A297" s="8" t="s">
        <v>485</v>
      </c>
      <c r="B297" s="9" t="s">
        <v>614</v>
      </c>
      <c r="C297" s="10" t="s">
        <v>615</v>
      </c>
      <c r="D297" s="11">
        <f>IFERROR((VLOOKUP(B297, Roccia!$B$2:$D997, 3, FALSE)*(1+Datos!$E$2)), "Revisar")</f>
        <v>816.948</v>
      </c>
      <c r="E297" s="11">
        <f>IFERROR(D297*Datos!$B$3, "Revisar")</f>
        <v>1225.422</v>
      </c>
      <c r="F297" s="12">
        <f>IFERROR(E297*Datos!$B$1, "Revisar")</f>
        <v>707737.697</v>
      </c>
      <c r="G297" s="13">
        <f>IFERROR((VLOOKUP(B297, Roccia!$B$2:$D997, 3, FALSE) /(1-Datos!$E$1)), "Revisar")</f>
        <v>972.5571429</v>
      </c>
      <c r="H297" s="13">
        <f>IFERROR(G297*Datos!$B$3, "Revisar")</f>
        <v>1458.835714</v>
      </c>
      <c r="I297" s="13">
        <f t="shared" si="1"/>
        <v>233.4137143</v>
      </c>
    </row>
    <row r="298">
      <c r="A298" s="8" t="s">
        <v>485</v>
      </c>
      <c r="B298" s="9" t="s">
        <v>616</v>
      </c>
      <c r="C298" s="10" t="s">
        <v>617</v>
      </c>
      <c r="D298" s="11">
        <f>IFERROR((VLOOKUP(B298, Roccia!$B$2:$D997, 3, FALSE)*(1+Datos!$E$2)), "Revisar")</f>
        <v>727.296</v>
      </c>
      <c r="E298" s="11">
        <f>IFERROR(D298*Datos!$B$3, "Revisar")</f>
        <v>1090.944</v>
      </c>
      <c r="F298" s="12">
        <f>IFERROR(E298*Datos!$B$1, "Revisar")</f>
        <v>630070.4525</v>
      </c>
      <c r="G298" s="13">
        <f>IFERROR((VLOOKUP(B298, Roccia!$B$2:$D997, 3, FALSE) /(1-Datos!$E$1)), "Revisar")</f>
        <v>865.8285714</v>
      </c>
      <c r="H298" s="13">
        <f>IFERROR(G298*Datos!$B$3, "Revisar")</f>
        <v>1298.742857</v>
      </c>
      <c r="I298" s="13">
        <f t="shared" si="1"/>
        <v>207.7988571</v>
      </c>
    </row>
    <row r="299">
      <c r="A299" s="8" t="s">
        <v>485</v>
      </c>
      <c r="B299" s="9" t="s">
        <v>618</v>
      </c>
      <c r="C299" s="10" t="s">
        <v>619</v>
      </c>
      <c r="D299" s="11">
        <f>IFERROR((VLOOKUP(B299, Roccia!$B$2:$D997, 3, FALSE)*(1+Datos!$E$2)), "Revisar")</f>
        <v>936.828</v>
      </c>
      <c r="E299" s="11">
        <f>IFERROR(D299*Datos!$B$3, "Revisar")</f>
        <v>1405.242</v>
      </c>
      <c r="F299" s="12">
        <f>IFERROR(E299*Datos!$B$1, "Revisar")</f>
        <v>811592.0367</v>
      </c>
      <c r="G299" s="13">
        <f>IFERROR((VLOOKUP(B299, Roccia!$B$2:$D997, 3, FALSE) /(1-Datos!$E$1)), "Revisar")</f>
        <v>1115.271429</v>
      </c>
      <c r="H299" s="13">
        <f>IFERROR(G299*Datos!$B$3, "Revisar")</f>
        <v>1672.907143</v>
      </c>
      <c r="I299" s="13">
        <f t="shared" si="1"/>
        <v>267.6651429</v>
      </c>
    </row>
    <row r="300">
      <c r="A300" s="8" t="s">
        <v>485</v>
      </c>
      <c r="B300" s="9" t="s">
        <v>620</v>
      </c>
      <c r="C300" s="10" t="s">
        <v>621</v>
      </c>
      <c r="D300" s="11">
        <f>IFERROR((VLOOKUP(B300, Roccia!$B$2:$D997, 3, FALSE)*(1+Datos!$E$2)), "Revisar")</f>
        <v>1989.204</v>
      </c>
      <c r="E300" s="11">
        <f>IFERROR(D300*Datos!$B$3, "Revisar")</f>
        <v>2983.806</v>
      </c>
      <c r="F300" s="12">
        <f>IFERROR(E300*Datos!$B$1, "Revisar")</f>
        <v>1723285.518</v>
      </c>
      <c r="G300" s="13">
        <f>IFERROR((VLOOKUP(B300, Roccia!$B$2:$D997, 3, FALSE) /(1-Datos!$E$1)), "Revisar")</f>
        <v>2368.1</v>
      </c>
      <c r="H300" s="13">
        <f>IFERROR(G300*Datos!$B$3, "Revisar")</f>
        <v>3552.15</v>
      </c>
      <c r="I300" s="13">
        <f t="shared" si="1"/>
        <v>568.344</v>
      </c>
    </row>
    <row r="301">
      <c r="A301" s="8" t="s">
        <v>485</v>
      </c>
      <c r="B301" s="9" t="s">
        <v>622</v>
      </c>
      <c r="C301" s="10" t="s">
        <v>623</v>
      </c>
      <c r="D301" s="11">
        <f>IFERROR((VLOOKUP(B301, Roccia!$B$2:$D997, 3, FALSE)*(1+Datos!$E$2)), "Revisar")</f>
        <v>1416.264</v>
      </c>
      <c r="E301" s="11">
        <f>IFERROR(D301*Datos!$B$3, "Revisar")</f>
        <v>2124.396</v>
      </c>
      <c r="F301" s="12">
        <f>IFERROR(E301*Datos!$B$1, "Revisar")</f>
        <v>1226936.625</v>
      </c>
      <c r="G301" s="13">
        <f>IFERROR((VLOOKUP(B301, Roccia!$B$2:$D997, 3, FALSE) /(1-Datos!$E$1)), "Revisar")</f>
        <v>1686.028571</v>
      </c>
      <c r="H301" s="13">
        <f>IFERROR(G301*Datos!$B$3, "Revisar")</f>
        <v>2529.042857</v>
      </c>
      <c r="I301" s="13">
        <f t="shared" si="1"/>
        <v>404.6468571</v>
      </c>
    </row>
    <row r="302">
      <c r="A302" s="8" t="s">
        <v>485</v>
      </c>
      <c r="B302" s="9" t="s">
        <v>624</v>
      </c>
      <c r="C302" s="10" t="s">
        <v>625</v>
      </c>
      <c r="D302" s="11">
        <f>IFERROR((VLOOKUP(B302, Roccia!$B$2:$D997, 3, FALSE)*(1+Datos!$E$2)), "Revisar")</f>
        <v>2515.236</v>
      </c>
      <c r="E302" s="11">
        <f>IFERROR(D302*Datos!$B$3, "Revisar")</f>
        <v>3772.854</v>
      </c>
      <c r="F302" s="12">
        <f>IFERROR(E302*Datos!$B$1, "Revisar")</f>
        <v>2178997.114</v>
      </c>
      <c r="G302" s="13">
        <f>IFERROR((VLOOKUP(B302, Roccia!$B$2:$D997, 3, FALSE) /(1-Datos!$E$1)), "Revisar")</f>
        <v>2994.328571</v>
      </c>
      <c r="H302" s="13">
        <f>IFERROR(G302*Datos!$B$3, "Revisar")</f>
        <v>4491.492857</v>
      </c>
      <c r="I302" s="13">
        <f t="shared" si="1"/>
        <v>718.6388571</v>
      </c>
    </row>
    <row r="303">
      <c r="A303" s="8" t="s">
        <v>485</v>
      </c>
      <c r="B303" s="9" t="s">
        <v>626</v>
      </c>
      <c r="C303" s="10" t="s">
        <v>627</v>
      </c>
      <c r="D303" s="11">
        <f>IFERROR((VLOOKUP(B303, Roccia!$B$2:$D997, 3, FALSE)*(1+Datos!$E$2)), "Revisar")</f>
        <v>3053.628</v>
      </c>
      <c r="E303" s="11">
        <f>IFERROR(D303*Datos!$B$3, "Revisar")</f>
        <v>4580.442</v>
      </c>
      <c r="F303" s="12">
        <f>IFERROR(E303*Datos!$B$1, "Revisar")</f>
        <v>2645416.413</v>
      </c>
      <c r="G303" s="13">
        <f>IFERROR((VLOOKUP(B303, Roccia!$B$2:$D997, 3, FALSE) /(1-Datos!$E$1)), "Revisar")</f>
        <v>3635.271429</v>
      </c>
      <c r="H303" s="13">
        <f>IFERROR(G303*Datos!$B$3, "Revisar")</f>
        <v>5452.907143</v>
      </c>
      <c r="I303" s="13">
        <f t="shared" si="1"/>
        <v>872.4651429</v>
      </c>
    </row>
    <row r="304">
      <c r="A304" s="8" t="s">
        <v>485</v>
      </c>
      <c r="B304" s="9" t="s">
        <v>628</v>
      </c>
      <c r="C304" s="10" t="s">
        <v>629</v>
      </c>
      <c r="D304" s="11">
        <f>IFERROR((VLOOKUP(B304, Roccia!$B$2:$D997, 3, FALSE)*(1+Datos!$E$2)), "Revisar")</f>
        <v>3560.496</v>
      </c>
      <c r="E304" s="11">
        <f>IFERROR(D304*Datos!$B$3, "Revisar")</f>
        <v>5340.744</v>
      </c>
      <c r="F304" s="12">
        <f>IFERROR(E304*Datos!$B$1, "Revisar")</f>
        <v>3084525.868</v>
      </c>
      <c r="G304" s="13">
        <f>IFERROR((VLOOKUP(B304, Roccia!$B$2:$D997, 3, FALSE) /(1-Datos!$E$1)), "Revisar")</f>
        <v>4238.685714</v>
      </c>
      <c r="H304" s="13">
        <f>IFERROR(G304*Datos!$B$3, "Revisar")</f>
        <v>6358.028571</v>
      </c>
      <c r="I304" s="13">
        <f t="shared" si="1"/>
        <v>1017.284571</v>
      </c>
    </row>
    <row r="305">
      <c r="A305" s="8" t="s">
        <v>485</v>
      </c>
      <c r="B305" s="9" t="s">
        <v>630</v>
      </c>
      <c r="C305" s="10" t="s">
        <v>631</v>
      </c>
      <c r="D305" s="11">
        <f>IFERROR((VLOOKUP(B305, Roccia!$B$2:$D997, 3, FALSE)*(1+Datos!$E$2)), "Revisar")</f>
        <v>3874.74</v>
      </c>
      <c r="E305" s="11">
        <f>IFERROR(D305*Datos!$B$3, "Revisar")</f>
        <v>5812.11</v>
      </c>
      <c r="F305" s="12">
        <f>IFERROR(E305*Datos!$B$1, "Revisar")</f>
        <v>3356761.463</v>
      </c>
      <c r="G305" s="13">
        <f>IFERROR((VLOOKUP(B305, Roccia!$B$2:$D997, 3, FALSE) /(1-Datos!$E$1)), "Revisar")</f>
        <v>4612.785714</v>
      </c>
      <c r="H305" s="13">
        <f>IFERROR(G305*Datos!$B$3, "Revisar")</f>
        <v>6919.178571</v>
      </c>
      <c r="I305" s="13">
        <f t="shared" si="1"/>
        <v>1107.068571</v>
      </c>
    </row>
    <row r="306">
      <c r="A306" s="8" t="s">
        <v>485</v>
      </c>
      <c r="B306" s="9" t="s">
        <v>632</v>
      </c>
      <c r="C306" s="10" t="s">
        <v>633</v>
      </c>
      <c r="D306" s="11">
        <f>IFERROR((VLOOKUP(B306, Roccia!$B$2:$D997, 3, FALSE)*(1+Datos!$E$2)), "Revisar")</f>
        <v>1430.52</v>
      </c>
      <c r="E306" s="11">
        <f>IFERROR(D306*Datos!$B$3, "Revisar")</f>
        <v>2145.78</v>
      </c>
      <c r="F306" s="12">
        <f>IFERROR(E306*Datos!$B$1, "Revisar")</f>
        <v>1239286.87</v>
      </c>
      <c r="G306" s="13">
        <f>IFERROR((VLOOKUP(B306, Roccia!$B$2:$D997, 3, FALSE) /(1-Datos!$E$1)), "Revisar")</f>
        <v>1703</v>
      </c>
      <c r="H306" s="13">
        <f>IFERROR(G306*Datos!$B$3, "Revisar")</f>
        <v>2554.5</v>
      </c>
      <c r="I306" s="13">
        <f t="shared" si="1"/>
        <v>408.72</v>
      </c>
    </row>
    <row r="307">
      <c r="A307" s="8" t="s">
        <v>485</v>
      </c>
      <c r="B307" s="9" t="s">
        <v>634</v>
      </c>
      <c r="C307" s="10" t="s">
        <v>635</v>
      </c>
      <c r="D307" s="11">
        <f>IFERROR((VLOOKUP(B307, Roccia!$B$2:$D997, 3, FALSE)*(1+Datos!$E$2)), "Revisar")</f>
        <v>2424.528</v>
      </c>
      <c r="E307" s="11">
        <f>IFERROR(D307*Datos!$B$3, "Revisar")</f>
        <v>3636.792</v>
      </c>
      <c r="F307" s="12">
        <f>IFERROR(E307*Datos!$B$1, "Revisar")</f>
        <v>2100415.036</v>
      </c>
      <c r="G307" s="13">
        <f>IFERROR((VLOOKUP(B307, Roccia!$B$2:$D997, 3, FALSE) /(1-Datos!$E$1)), "Revisar")</f>
        <v>2886.342857</v>
      </c>
      <c r="H307" s="13">
        <f>IFERROR(G307*Datos!$B$3, "Revisar")</f>
        <v>4329.514286</v>
      </c>
      <c r="I307" s="13">
        <f t="shared" si="1"/>
        <v>692.7222857</v>
      </c>
    </row>
    <row r="308">
      <c r="A308" s="8" t="s">
        <v>485</v>
      </c>
      <c r="B308" s="9" t="s">
        <v>636</v>
      </c>
      <c r="C308" s="10" t="s">
        <v>637</v>
      </c>
      <c r="D308" s="11">
        <f>IFERROR((VLOOKUP(B308, Roccia!$B$2:$D997, 3, FALSE)*(1+Datos!$E$2)), "Revisar")</f>
        <v>6731.88</v>
      </c>
      <c r="E308" s="11">
        <f>IFERROR(D308*Datos!$B$3, "Revisar")</f>
        <v>10097.82</v>
      </c>
      <c r="F308" s="12">
        <f>IFERROR(E308*Datos!$B$1, "Revisar")</f>
        <v>5831956.56</v>
      </c>
      <c r="G308" s="13">
        <f>IFERROR((VLOOKUP(B308, Roccia!$B$2:$D997, 3, FALSE) /(1-Datos!$E$1)), "Revisar")</f>
        <v>8014.142857</v>
      </c>
      <c r="H308" s="13">
        <f>IFERROR(G308*Datos!$B$3, "Revisar")</f>
        <v>12021.21429</v>
      </c>
      <c r="I308" s="13">
        <f t="shared" si="1"/>
        <v>1923.394286</v>
      </c>
    </row>
    <row r="309">
      <c r="A309" s="8" t="s">
        <v>485</v>
      </c>
      <c r="B309" s="9" t="s">
        <v>638</v>
      </c>
      <c r="C309" s="10" t="s">
        <v>639</v>
      </c>
      <c r="D309" s="11">
        <f>IFERROR((VLOOKUP(B309, Roccia!$B$2:$D997, 3, FALSE)*(1+Datos!$E$2)), "Revisar")</f>
        <v>3991.884</v>
      </c>
      <c r="E309" s="11">
        <f>IFERROR(D309*Datos!$B$3, "Revisar")</f>
        <v>5987.826</v>
      </c>
      <c r="F309" s="12">
        <f>IFERROR(E309*Datos!$B$1, "Revisar")</f>
        <v>3458245.554</v>
      </c>
      <c r="G309" s="13">
        <f>IFERROR((VLOOKUP(B309, Roccia!$B$2:$D997, 3, FALSE) /(1-Datos!$E$1)), "Revisar")</f>
        <v>4752.242857</v>
      </c>
      <c r="H309" s="13">
        <f>IFERROR(G309*Datos!$B$3, "Revisar")</f>
        <v>7128.364286</v>
      </c>
      <c r="I309" s="13">
        <f t="shared" si="1"/>
        <v>1140.538286</v>
      </c>
    </row>
    <row r="310">
      <c r="A310" s="8" t="s">
        <v>485</v>
      </c>
      <c r="B310" s="9" t="s">
        <v>640</v>
      </c>
      <c r="C310" s="10" t="s">
        <v>641</v>
      </c>
      <c r="D310" s="11">
        <f>IFERROR((VLOOKUP(B310, Roccia!$B$2:$D997, 3, FALSE)*(1+Datos!$E$2)), "Revisar")</f>
        <v>837.564</v>
      </c>
      <c r="E310" s="11">
        <f>IFERROR(D310*Datos!$B$3, "Revisar")</f>
        <v>1256.346</v>
      </c>
      <c r="F310" s="12">
        <f>IFERROR(E310*Datos!$B$1, "Revisar")</f>
        <v>725597.7326</v>
      </c>
      <c r="G310" s="13">
        <f>IFERROR((VLOOKUP(B310, Roccia!$B$2:$D997, 3, FALSE) /(1-Datos!$E$1)), "Revisar")</f>
        <v>997.1</v>
      </c>
      <c r="H310" s="13">
        <f>IFERROR(G310*Datos!$B$3, "Revisar")</f>
        <v>1495.65</v>
      </c>
      <c r="I310" s="13">
        <f t="shared" si="1"/>
        <v>239.304</v>
      </c>
    </row>
    <row r="311">
      <c r="A311" s="8" t="s">
        <v>485</v>
      </c>
      <c r="B311" s="9" t="s">
        <v>642</v>
      </c>
      <c r="C311" s="10" t="s">
        <v>643</v>
      </c>
      <c r="D311" s="11">
        <f>IFERROR((VLOOKUP(B311, Roccia!$B$2:$D997, 3, FALSE)*(1+Datos!$E$2)), "Revisar")</f>
        <v>3380.7</v>
      </c>
      <c r="E311" s="11">
        <f>IFERROR(D311*Datos!$B$3, "Revisar")</f>
        <v>5071.05</v>
      </c>
      <c r="F311" s="12">
        <f>IFERROR(E311*Datos!$B$1, "Revisar")</f>
        <v>2928765.15</v>
      </c>
      <c r="G311" s="13">
        <f>IFERROR((VLOOKUP(B311, Roccia!$B$2:$D997, 3, FALSE) /(1-Datos!$E$1)), "Revisar")</f>
        <v>4024.642857</v>
      </c>
      <c r="H311" s="13">
        <f>IFERROR(G311*Datos!$B$3, "Revisar")</f>
        <v>6036.964286</v>
      </c>
      <c r="I311" s="13">
        <f t="shared" si="1"/>
        <v>965.9142857</v>
      </c>
    </row>
    <row r="312">
      <c r="A312" s="8" t="s">
        <v>644</v>
      </c>
      <c r="B312" s="9" t="s">
        <v>645</v>
      </c>
      <c r="C312" s="10" t="s">
        <v>646</v>
      </c>
      <c r="D312" s="11">
        <f>IFERROR((VLOOKUP(B312, Roccia!$B$2:$D997, 3, FALSE)*(1+Datos!$E$2)), "Revisar")</f>
        <v>221.016</v>
      </c>
      <c r="E312" s="11">
        <f>IFERROR(D312*Datos!$B$3, "Revisar")</f>
        <v>331.524</v>
      </c>
      <c r="F312" s="12">
        <f>IFERROR(E312*Datos!$B$1, "Revisar")</f>
        <v>191470.3933</v>
      </c>
      <c r="G312" s="13">
        <f>IFERROR((VLOOKUP(B312, Roccia!$B$2:$D997, 3, FALSE) /(1-Datos!$E$1)), "Revisar")</f>
        <v>263.1142857</v>
      </c>
      <c r="H312" s="13">
        <f>IFERROR(G312*Datos!$B$3, "Revisar")</f>
        <v>394.6714286</v>
      </c>
      <c r="I312" s="13">
        <f t="shared" si="1"/>
        <v>63.14742857</v>
      </c>
    </row>
    <row r="313">
      <c r="A313" s="8" t="s">
        <v>644</v>
      </c>
      <c r="B313" s="9" t="s">
        <v>647</v>
      </c>
      <c r="C313" s="10" t="s">
        <v>648</v>
      </c>
      <c r="D313" s="11">
        <f>IFERROR((VLOOKUP(B313, Roccia!$B$2:$D997, 3, FALSE)*(1+Datos!$E$2)), "Revisar")</f>
        <v>121.032</v>
      </c>
      <c r="E313" s="11">
        <f>IFERROR(D313*Datos!$B$3, "Revisar")</f>
        <v>181.548</v>
      </c>
      <c r="F313" s="12">
        <f>IFERROR(E313*Datos!$B$1, "Revisar")</f>
        <v>104852.3394</v>
      </c>
      <c r="G313" s="13">
        <f>IFERROR((VLOOKUP(B313, Roccia!$B$2:$D997, 3, FALSE) /(1-Datos!$E$1)), "Revisar")</f>
        <v>144.0857143</v>
      </c>
      <c r="H313" s="13">
        <f>IFERROR(G313*Datos!$B$3, "Revisar")</f>
        <v>216.1285714</v>
      </c>
      <c r="I313" s="13">
        <f t="shared" si="1"/>
        <v>34.58057143</v>
      </c>
    </row>
    <row r="314">
      <c r="A314" s="8" t="s">
        <v>649</v>
      </c>
      <c r="B314" s="9" t="s">
        <v>650</v>
      </c>
      <c r="C314" s="10" t="s">
        <v>651</v>
      </c>
      <c r="D314" s="11">
        <f>IFERROR((VLOOKUP(B314, Roccia!$B$2:$D997, 3, FALSE)*(1+Datos!$E$2)), "Revisar")</f>
        <v>22.368</v>
      </c>
      <c r="E314" s="11">
        <f>IFERROR(D314*Datos!$B$3, "Revisar")</f>
        <v>33.552</v>
      </c>
      <c r="F314" s="12">
        <f>IFERROR(E314*Datos!$B$1, "Revisar")</f>
        <v>19377.82675</v>
      </c>
      <c r="G314" s="13">
        <f>IFERROR((VLOOKUP(B314, Roccia!$B$2:$D997, 3, FALSE) /(1-Datos!$E$1)), "Revisar")</f>
        <v>26.62857143</v>
      </c>
      <c r="H314" s="13">
        <f>IFERROR(G314*Datos!$B$3, "Revisar")</f>
        <v>39.94285714</v>
      </c>
      <c r="I314" s="13">
        <f t="shared" si="1"/>
        <v>6.390857143</v>
      </c>
    </row>
    <row r="315">
      <c r="A315" s="8" t="s">
        <v>649</v>
      </c>
      <c r="B315" s="9" t="s">
        <v>652</v>
      </c>
      <c r="C315" s="10" t="s">
        <v>653</v>
      </c>
      <c r="D315" s="11">
        <f>IFERROR((VLOOKUP(B315, Roccia!$B$2:$D997, 3, FALSE)*(1+Datos!$E$2)), "Revisar")</f>
        <v>29.028</v>
      </c>
      <c r="E315" s="11">
        <f>IFERROR(D315*Datos!$B$3, "Revisar")</f>
        <v>43.542</v>
      </c>
      <c r="F315" s="12">
        <f>IFERROR(E315*Datos!$B$1, "Revisar")</f>
        <v>25147.51229</v>
      </c>
      <c r="G315" s="13">
        <f>IFERROR((VLOOKUP(B315, Roccia!$B$2:$D997, 3, FALSE) /(1-Datos!$E$1)), "Revisar")</f>
        <v>34.55714286</v>
      </c>
      <c r="H315" s="13">
        <f>IFERROR(G315*Datos!$B$3, "Revisar")</f>
        <v>51.83571429</v>
      </c>
      <c r="I315" s="13">
        <f t="shared" si="1"/>
        <v>8.293714286</v>
      </c>
    </row>
    <row r="316">
      <c r="A316" s="8" t="s">
        <v>649</v>
      </c>
      <c r="B316" s="9" t="s">
        <v>654</v>
      </c>
      <c r="C316" s="10" t="s">
        <v>655</v>
      </c>
      <c r="D316" s="11">
        <f>IFERROR((VLOOKUP(B316, Roccia!$B$2:$D997, 3, FALSE)*(1+Datos!$E$2)), "Revisar")</f>
        <v>39.264</v>
      </c>
      <c r="E316" s="11">
        <f>IFERROR(D316*Datos!$B$3, "Revisar")</f>
        <v>58.896</v>
      </c>
      <c r="F316" s="12">
        <f>IFERROR(E316*Datos!$B$1, "Revisar")</f>
        <v>34015.15511</v>
      </c>
      <c r="G316" s="13">
        <f>IFERROR((VLOOKUP(B316, Roccia!$B$2:$D997, 3, FALSE) /(1-Datos!$E$1)), "Revisar")</f>
        <v>46.74285714</v>
      </c>
      <c r="H316" s="13">
        <f>IFERROR(G316*Datos!$B$3, "Revisar")</f>
        <v>70.11428571</v>
      </c>
      <c r="I316" s="13">
        <f t="shared" si="1"/>
        <v>11.21828571</v>
      </c>
    </row>
    <row r="317">
      <c r="A317" s="8" t="s">
        <v>649</v>
      </c>
      <c r="B317" s="9" t="s">
        <v>656</v>
      </c>
      <c r="C317" s="10" t="s">
        <v>657</v>
      </c>
      <c r="D317" s="11">
        <f>IFERROR((VLOOKUP(B317, Roccia!$B$2:$D997, 3, FALSE)*(1+Datos!$E$2)), "Revisar")</f>
        <v>52.104</v>
      </c>
      <c r="E317" s="11">
        <f>IFERROR(D317*Datos!$B$3, "Revisar")</f>
        <v>78.156</v>
      </c>
      <c r="F317" s="12">
        <f>IFERROR(E317*Datos!$B$1, "Revisar")</f>
        <v>45138.69299</v>
      </c>
      <c r="G317" s="13">
        <f>IFERROR((VLOOKUP(B317, Roccia!$B$2:$D997, 3, FALSE) /(1-Datos!$E$1)), "Revisar")</f>
        <v>62.02857143</v>
      </c>
      <c r="H317" s="13">
        <f>IFERROR(G317*Datos!$B$3, "Revisar")</f>
        <v>93.04285714</v>
      </c>
      <c r="I317" s="13">
        <f t="shared" si="1"/>
        <v>14.88685714</v>
      </c>
    </row>
    <row r="318">
      <c r="A318" s="8" t="s">
        <v>649</v>
      </c>
      <c r="B318" s="9" t="s">
        <v>658</v>
      </c>
      <c r="C318" s="10" t="s">
        <v>659</v>
      </c>
      <c r="D318" s="11">
        <f>IFERROR((VLOOKUP(B318, Roccia!$B$2:$D997, 3, FALSE)*(1+Datos!$E$2)), "Revisar")</f>
        <v>20.316</v>
      </c>
      <c r="E318" s="11">
        <f>IFERROR(D318*Datos!$B$3, "Revisar")</f>
        <v>30.474</v>
      </c>
      <c r="F318" s="12">
        <f>IFERROR(E318*Datos!$B$1, "Revisar")</f>
        <v>17600.13985</v>
      </c>
      <c r="G318" s="13">
        <f>IFERROR((VLOOKUP(B318, Roccia!$B$2:$D997, 3, FALSE) /(1-Datos!$E$1)), "Revisar")</f>
        <v>24.18571429</v>
      </c>
      <c r="H318" s="13">
        <f>IFERROR(G318*Datos!$B$3, "Revisar")</f>
        <v>36.27857143</v>
      </c>
      <c r="I318" s="13">
        <f t="shared" si="1"/>
        <v>5.804571429</v>
      </c>
    </row>
    <row r="319">
      <c r="A319" s="8" t="s">
        <v>649</v>
      </c>
      <c r="B319" s="9" t="s">
        <v>660</v>
      </c>
      <c r="C319" s="10" t="s">
        <v>661</v>
      </c>
      <c r="D319" s="11">
        <f>IFERROR((VLOOKUP(B319, Roccia!$B$2:$D997, 3, FALSE)*(1+Datos!$E$2)), "Revisar")</f>
        <v>25.344</v>
      </c>
      <c r="E319" s="11">
        <f>IFERROR(D319*Datos!$B$3, "Revisar")</f>
        <v>38.016</v>
      </c>
      <c r="F319" s="12">
        <f>IFERROR(E319*Datos!$B$1, "Revisar")</f>
        <v>21955.99254</v>
      </c>
      <c r="G319" s="13">
        <f>IFERROR((VLOOKUP(B319, Roccia!$B$2:$D997, 3, FALSE) /(1-Datos!$E$1)), "Revisar")</f>
        <v>30.17142857</v>
      </c>
      <c r="H319" s="13">
        <f>IFERROR(G319*Datos!$B$3, "Revisar")</f>
        <v>45.25714286</v>
      </c>
      <c r="I319" s="13">
        <f t="shared" si="1"/>
        <v>7.241142857</v>
      </c>
    </row>
    <row r="320">
      <c r="A320" s="8" t="s">
        <v>649</v>
      </c>
      <c r="B320" s="9" t="s">
        <v>662</v>
      </c>
      <c r="C320" s="10" t="s">
        <v>663</v>
      </c>
      <c r="D320" s="11">
        <f>IFERROR((VLOOKUP(B320, Roccia!$B$2:$D997, 3, FALSE)*(1+Datos!$E$2)), "Revisar")</f>
        <v>31.692</v>
      </c>
      <c r="E320" s="11">
        <f>IFERROR(D320*Datos!$B$3, "Revisar")</f>
        <v>47.538</v>
      </c>
      <c r="F320" s="12">
        <f>IFERROR(E320*Datos!$B$1, "Revisar")</f>
        <v>27455.3865</v>
      </c>
      <c r="G320" s="13">
        <f>IFERROR((VLOOKUP(B320, Roccia!$B$2:$D997, 3, FALSE) /(1-Datos!$E$1)), "Revisar")</f>
        <v>37.72857143</v>
      </c>
      <c r="H320" s="13">
        <f>IFERROR(G320*Datos!$B$3, "Revisar")</f>
        <v>56.59285714</v>
      </c>
      <c r="I320" s="13">
        <f t="shared" si="1"/>
        <v>9.054857143</v>
      </c>
    </row>
    <row r="321">
      <c r="A321" s="8" t="s">
        <v>649</v>
      </c>
      <c r="B321" s="9" t="s">
        <v>664</v>
      </c>
      <c r="C321" s="10" t="s">
        <v>665</v>
      </c>
      <c r="D321" s="11">
        <f>IFERROR((VLOOKUP(B321, Roccia!$B$2:$D997, 3, FALSE)*(1+Datos!$E$2)), "Revisar")</f>
        <v>97.536</v>
      </c>
      <c r="E321" s="11">
        <f>IFERROR(D321*Datos!$B$3, "Revisar")</f>
        <v>146.304</v>
      </c>
      <c r="F321" s="12">
        <f>IFERROR(E321*Datos!$B$1, "Revisar")</f>
        <v>84497.30461</v>
      </c>
      <c r="G321" s="13">
        <f>IFERROR((VLOOKUP(B321, Roccia!$B$2:$D997, 3, FALSE) /(1-Datos!$E$1)), "Revisar")</f>
        <v>116.1142857</v>
      </c>
      <c r="H321" s="13">
        <f>IFERROR(G321*Datos!$B$3, "Revisar")</f>
        <v>174.1714286</v>
      </c>
      <c r="I321" s="13">
        <f t="shared" si="1"/>
        <v>27.86742857</v>
      </c>
    </row>
    <row r="322">
      <c r="A322" s="8" t="s">
        <v>649</v>
      </c>
      <c r="B322" s="9" t="s">
        <v>666</v>
      </c>
      <c r="C322" s="10" t="s">
        <v>667</v>
      </c>
      <c r="D322" s="11">
        <f>IFERROR((VLOOKUP(B322, Roccia!$B$2:$D997, 3, FALSE)*(1+Datos!$E$2)), "Revisar")</f>
        <v>24.3</v>
      </c>
      <c r="E322" s="11">
        <f>IFERROR(D322*Datos!$B$3, "Revisar")</f>
        <v>36.45</v>
      </c>
      <c r="F322" s="12">
        <f>IFERROR(E322*Datos!$B$1, "Revisar")</f>
        <v>21051.55535</v>
      </c>
      <c r="G322" s="13">
        <f>IFERROR((VLOOKUP(B322, Roccia!$B$2:$D997, 3, FALSE) /(1-Datos!$E$1)), "Revisar")</f>
        <v>28.92857143</v>
      </c>
      <c r="H322" s="13">
        <f>IFERROR(G322*Datos!$B$3, "Revisar")</f>
        <v>43.39285714</v>
      </c>
      <c r="I322" s="13">
        <f t="shared" si="1"/>
        <v>6.942857143</v>
      </c>
    </row>
    <row r="323">
      <c r="A323" s="8" t="s">
        <v>649</v>
      </c>
      <c r="B323" s="9" t="s">
        <v>668</v>
      </c>
      <c r="C323" s="10" t="s">
        <v>669</v>
      </c>
      <c r="D323" s="11">
        <f>IFERROR((VLOOKUP(B323, Roccia!$B$2:$D997, 3, FALSE)*(1+Datos!$E$2)), "Revisar")</f>
        <v>12</v>
      </c>
      <c r="E323" s="11">
        <f>IFERROR(D323*Datos!$B$3, "Revisar")</f>
        <v>18</v>
      </c>
      <c r="F323" s="12">
        <f>IFERROR(E323*Datos!$B$1, "Revisar")</f>
        <v>10395.8298</v>
      </c>
      <c r="G323" s="13">
        <f>IFERROR((VLOOKUP(B323, Roccia!$B$2:$D997, 3, FALSE) /(1-Datos!$E$1)), "Revisar")</f>
        <v>14.28571429</v>
      </c>
      <c r="H323" s="13">
        <f>IFERROR(G323*Datos!$B$3, "Revisar")</f>
        <v>21.42857143</v>
      </c>
      <c r="I323" s="13">
        <f t="shared" si="1"/>
        <v>3.428571429</v>
      </c>
    </row>
    <row r="324">
      <c r="A324" s="8" t="s">
        <v>649</v>
      </c>
      <c r="B324" s="9" t="s">
        <v>670</v>
      </c>
      <c r="C324" s="10" t="s">
        <v>671</v>
      </c>
      <c r="D324" s="11">
        <f>IFERROR((VLOOKUP(B324, Roccia!$B$2:$D997, 3, FALSE)*(1+Datos!$E$2)), "Revisar")</f>
        <v>7.092</v>
      </c>
      <c r="E324" s="11">
        <f>IFERROR(D324*Datos!$B$3, "Revisar")</f>
        <v>10.638</v>
      </c>
      <c r="F324" s="12">
        <f>IFERROR(E324*Datos!$B$1, "Revisar")</f>
        <v>6143.935412</v>
      </c>
      <c r="G324" s="13">
        <f>IFERROR((VLOOKUP(B324, Roccia!$B$2:$D997, 3, FALSE) /(1-Datos!$E$1)), "Revisar")</f>
        <v>8.442857143</v>
      </c>
      <c r="H324" s="13">
        <f>IFERROR(G324*Datos!$B$3, "Revisar")</f>
        <v>12.66428571</v>
      </c>
      <c r="I324" s="13">
        <f t="shared" si="1"/>
        <v>2.026285714</v>
      </c>
    </row>
    <row r="325">
      <c r="A325" s="8" t="s">
        <v>649</v>
      </c>
      <c r="B325" s="9" t="s">
        <v>672</v>
      </c>
      <c r="C325" s="10" t="s">
        <v>673</v>
      </c>
      <c r="D325" s="11">
        <f>IFERROR((VLOOKUP(B325, Roccia!$B$2:$D997, 3, FALSE)*(1+Datos!$E$2)), "Revisar")</f>
        <v>2.4</v>
      </c>
      <c r="E325" s="11">
        <f>IFERROR(D325*Datos!$B$3, "Revisar")</f>
        <v>3.6</v>
      </c>
      <c r="F325" s="12">
        <f>IFERROR(E325*Datos!$B$1, "Revisar")</f>
        <v>2079.16596</v>
      </c>
      <c r="G325" s="13">
        <f>IFERROR((VLOOKUP(B325, Roccia!$B$2:$D997, 3, FALSE) /(1-Datos!$E$1)), "Revisar")</f>
        <v>2.857142857</v>
      </c>
      <c r="H325" s="13">
        <f>IFERROR(G325*Datos!$B$3, "Revisar")</f>
        <v>4.285714286</v>
      </c>
      <c r="I325" s="13">
        <f t="shared" si="1"/>
        <v>0.6857142857</v>
      </c>
    </row>
    <row r="326">
      <c r="A326" s="8" t="s">
        <v>674</v>
      </c>
      <c r="B326" s="9" t="s">
        <v>675</v>
      </c>
      <c r="C326" s="10" t="s">
        <v>676</v>
      </c>
      <c r="D326" s="11">
        <f>IFERROR((VLOOKUP(B326, Roccia!$B$2:$D997, 3, FALSE)*(1+Datos!$E$2)), "Revisar")</f>
        <v>49.8</v>
      </c>
      <c r="E326" s="11">
        <f>IFERROR(D326*Datos!$B$3, "Revisar")</f>
        <v>74.7</v>
      </c>
      <c r="F326" s="12">
        <f>IFERROR(E326*Datos!$B$1, "Revisar")</f>
        <v>43142.69367</v>
      </c>
      <c r="G326" s="13">
        <f>IFERROR((VLOOKUP(B326, Roccia!$B$2:$D997, 3, FALSE) /(1-Datos!$E$1)), "Revisar")</f>
        <v>59.28571429</v>
      </c>
      <c r="H326" s="13">
        <f>IFERROR(G326*Datos!$B$3, "Revisar")</f>
        <v>88.92857143</v>
      </c>
      <c r="I326" s="13">
        <f t="shared" si="1"/>
        <v>14.22857143</v>
      </c>
    </row>
    <row r="327">
      <c r="A327" s="8" t="s">
        <v>674</v>
      </c>
      <c r="B327" s="9" t="s">
        <v>677</v>
      </c>
      <c r="C327" s="10" t="s">
        <v>678</v>
      </c>
      <c r="D327" s="11">
        <f>IFERROR((VLOOKUP(B327, Roccia!$B$2:$D997, 3, FALSE)*(1+Datos!$E$2)), "Revisar")</f>
        <v>78</v>
      </c>
      <c r="E327" s="11">
        <f>IFERROR(D327*Datos!$B$3, "Revisar")</f>
        <v>117</v>
      </c>
      <c r="F327" s="12">
        <f>IFERROR(E327*Datos!$B$1, "Revisar")</f>
        <v>67572.8937</v>
      </c>
      <c r="G327" s="13">
        <f>IFERROR((VLOOKUP(B327, Roccia!$B$2:$D997, 3, FALSE) /(1-Datos!$E$1)), "Revisar")</f>
        <v>92.85714286</v>
      </c>
      <c r="H327" s="13">
        <f>IFERROR(G327*Datos!$B$3, "Revisar")</f>
        <v>139.2857143</v>
      </c>
      <c r="I327" s="13">
        <f t="shared" si="1"/>
        <v>22.28571429</v>
      </c>
    </row>
    <row r="328">
      <c r="A328" s="8" t="s">
        <v>674</v>
      </c>
      <c r="B328" s="9" t="s">
        <v>679</v>
      </c>
      <c r="C328" s="10" t="s">
        <v>680</v>
      </c>
      <c r="D328" s="11">
        <f>IFERROR((VLOOKUP(B328, Roccia!$B$2:$D997, 3, FALSE)*(1+Datos!$E$2)), "Revisar")</f>
        <v>24</v>
      </c>
      <c r="E328" s="11">
        <f>IFERROR(D328*Datos!$B$3, "Revisar")</f>
        <v>36</v>
      </c>
      <c r="F328" s="12">
        <f>IFERROR(E328*Datos!$B$1, "Revisar")</f>
        <v>20791.6596</v>
      </c>
      <c r="G328" s="13">
        <f>IFERROR((VLOOKUP(B328, Roccia!$B$2:$D997, 3, FALSE) /(1-Datos!$E$1)), "Revisar")</f>
        <v>28.57142857</v>
      </c>
      <c r="H328" s="13">
        <f>IFERROR(G328*Datos!$B$3, "Revisar")</f>
        <v>42.85714286</v>
      </c>
      <c r="I328" s="13">
        <f t="shared" si="1"/>
        <v>6.857142857</v>
      </c>
    </row>
    <row r="329">
      <c r="A329" s="8" t="s">
        <v>674</v>
      </c>
      <c r="B329" s="9" t="s">
        <v>681</v>
      </c>
      <c r="C329" s="10" t="s">
        <v>682</v>
      </c>
      <c r="D329" s="11">
        <f>IFERROR((VLOOKUP(B329, Roccia!$B$2:$D997, 3, FALSE)*(1+Datos!$E$2)), "Revisar")</f>
        <v>62.4</v>
      </c>
      <c r="E329" s="11">
        <f>IFERROR(D329*Datos!$B$3, "Revisar")</f>
        <v>93.6</v>
      </c>
      <c r="F329" s="12">
        <f>IFERROR(E329*Datos!$B$1, "Revisar")</f>
        <v>54058.31496</v>
      </c>
      <c r="G329" s="13">
        <f>IFERROR((VLOOKUP(B329, Roccia!$B$2:$D997, 3, FALSE) /(1-Datos!$E$1)), "Revisar")</f>
        <v>74.28571429</v>
      </c>
      <c r="H329" s="13">
        <f>IFERROR(G329*Datos!$B$3, "Revisar")</f>
        <v>111.4285714</v>
      </c>
      <c r="I329" s="13">
        <f t="shared" si="1"/>
        <v>17.82857143</v>
      </c>
    </row>
    <row r="330">
      <c r="A330" s="8" t="s">
        <v>674</v>
      </c>
      <c r="B330" s="9" t="s">
        <v>683</v>
      </c>
      <c r="C330" s="10" t="s">
        <v>684</v>
      </c>
      <c r="D330" s="11">
        <f>IFERROR((VLOOKUP(B330, Roccia!$B$2:$D997, 3, FALSE)*(1+Datos!$E$2)), "Revisar")</f>
        <v>38.532</v>
      </c>
      <c r="E330" s="11">
        <f>IFERROR(D330*Datos!$B$3, "Revisar")</f>
        <v>57.798</v>
      </c>
      <c r="F330" s="12">
        <f>IFERROR(E330*Datos!$B$1, "Revisar")</f>
        <v>33381.00949</v>
      </c>
      <c r="G330" s="13">
        <f>IFERROR((VLOOKUP(B330, Roccia!$B$2:$D997, 3, FALSE) /(1-Datos!$E$1)), "Revisar")</f>
        <v>45.87142857</v>
      </c>
      <c r="H330" s="13">
        <f>IFERROR(G330*Datos!$B$3, "Revisar")</f>
        <v>68.80714286</v>
      </c>
      <c r="I330" s="13">
        <f t="shared" si="1"/>
        <v>11.00914286</v>
      </c>
    </row>
    <row r="331">
      <c r="A331" s="8" t="s">
        <v>674</v>
      </c>
      <c r="B331" s="9" t="s">
        <v>685</v>
      </c>
      <c r="C331" s="10" t="s">
        <v>686</v>
      </c>
      <c r="D331" s="11">
        <f>IFERROR((VLOOKUP(B331, Roccia!$B$2:$D997, 3, FALSE)*(1+Datos!$E$2)), "Revisar")</f>
        <v>837.6</v>
      </c>
      <c r="E331" s="11">
        <f>IFERROR(D331*Datos!$B$3, "Revisar")</f>
        <v>1256.4</v>
      </c>
      <c r="F331" s="12">
        <f>IFERROR(E331*Datos!$B$1, "Revisar")</f>
        <v>725628.92</v>
      </c>
      <c r="G331" s="13">
        <f>IFERROR((VLOOKUP(B331, Roccia!$B$2:$D997, 3, FALSE) /(1-Datos!$E$1)), "Revisar")</f>
        <v>997.1428571</v>
      </c>
      <c r="H331" s="13">
        <f>IFERROR(G331*Datos!$B$3, "Revisar")</f>
        <v>1495.714286</v>
      </c>
      <c r="I331" s="13">
        <f t="shared" si="1"/>
        <v>239.3142857</v>
      </c>
    </row>
    <row r="332">
      <c r="A332" s="8" t="s">
        <v>674</v>
      </c>
      <c r="B332" s="9" t="s">
        <v>687</v>
      </c>
      <c r="C332" s="10" t="s">
        <v>688</v>
      </c>
      <c r="D332" s="11">
        <f>IFERROR((VLOOKUP(B332, Roccia!$B$2:$D997, 3, FALSE)*(1+Datos!$E$2)), "Revisar")</f>
        <v>464.496</v>
      </c>
      <c r="E332" s="11">
        <f>IFERROR(D332*Datos!$B$3, "Revisar")</f>
        <v>696.744</v>
      </c>
      <c r="F332" s="12">
        <f>IFERROR(E332*Datos!$B$1, "Revisar")</f>
        <v>402401.7799</v>
      </c>
      <c r="G332" s="13">
        <f>IFERROR((VLOOKUP(B332, Roccia!$B$2:$D997, 3, FALSE) /(1-Datos!$E$1)), "Revisar")</f>
        <v>552.9714286</v>
      </c>
      <c r="H332" s="13">
        <f>IFERROR(G332*Datos!$B$3, "Revisar")</f>
        <v>829.4571429</v>
      </c>
      <c r="I332" s="13">
        <f t="shared" si="1"/>
        <v>132.7131429</v>
      </c>
    </row>
    <row r="333">
      <c r="A333" s="8" t="s">
        <v>674</v>
      </c>
      <c r="B333" s="9" t="s">
        <v>689</v>
      </c>
      <c r="C333" s="10" t="s">
        <v>690</v>
      </c>
      <c r="D333" s="11">
        <f>IFERROR((VLOOKUP(B333, Roccia!$B$2:$D997, 3, FALSE)*(1+Datos!$E$2)), "Revisar")</f>
        <v>106.164</v>
      </c>
      <c r="E333" s="11">
        <f>IFERROR(D333*Datos!$B$3, "Revisar")</f>
        <v>159.246</v>
      </c>
      <c r="F333" s="12">
        <f>IFERROR(E333*Datos!$B$1, "Revisar")</f>
        <v>91971.90624</v>
      </c>
      <c r="G333" s="13">
        <f>IFERROR((VLOOKUP(B333, Roccia!$B$2:$D997, 3, FALSE) /(1-Datos!$E$1)), "Revisar")</f>
        <v>126.3857143</v>
      </c>
      <c r="H333" s="13">
        <f>IFERROR(G333*Datos!$B$3, "Revisar")</f>
        <v>189.5785714</v>
      </c>
      <c r="I333" s="13">
        <f t="shared" si="1"/>
        <v>30.33257143</v>
      </c>
    </row>
    <row r="334">
      <c r="A334" s="8" t="s">
        <v>674</v>
      </c>
      <c r="B334" s="9" t="s">
        <v>691</v>
      </c>
      <c r="C334" s="10" t="s">
        <v>692</v>
      </c>
      <c r="D334" s="11">
        <f>IFERROR((VLOOKUP(B334, Roccia!$B$2:$D997, 3, FALSE)*(1+Datos!$E$2)), "Revisar")</f>
        <v>1015.836</v>
      </c>
      <c r="E334" s="11">
        <f>IFERROR(D334*Datos!$B$3, "Revisar")</f>
        <v>1523.754</v>
      </c>
      <c r="F334" s="12">
        <f>IFERROR(E334*Datos!$B$1, "Revisar")</f>
        <v>880038.1801</v>
      </c>
      <c r="G334" s="13">
        <f>IFERROR((VLOOKUP(B334, Roccia!$B$2:$D997, 3, FALSE) /(1-Datos!$E$1)), "Revisar")</f>
        <v>1209.328571</v>
      </c>
      <c r="H334" s="13">
        <f>IFERROR(G334*Datos!$B$3, "Revisar")</f>
        <v>1813.992857</v>
      </c>
      <c r="I334" s="13">
        <f t="shared" si="1"/>
        <v>290.2388571</v>
      </c>
    </row>
    <row r="335">
      <c r="A335" s="8" t="s">
        <v>674</v>
      </c>
      <c r="B335" s="9" t="s">
        <v>693</v>
      </c>
      <c r="C335" s="10" t="s">
        <v>694</v>
      </c>
      <c r="D335" s="11">
        <f>IFERROR((VLOOKUP(B335, Roccia!$B$2:$D997, 3, FALSE)*(1+Datos!$E$2)), "Revisar")</f>
        <v>692.7</v>
      </c>
      <c r="E335" s="11">
        <f>IFERROR(D335*Datos!$B$3, "Revisar")</f>
        <v>1039.05</v>
      </c>
      <c r="F335" s="12">
        <f>IFERROR(E335*Datos!$B$1, "Revisar")</f>
        <v>600099.2752</v>
      </c>
      <c r="G335" s="13">
        <f>IFERROR((VLOOKUP(B335, Roccia!$B$2:$D997, 3, FALSE) /(1-Datos!$E$1)), "Revisar")</f>
        <v>824.6428571</v>
      </c>
      <c r="H335" s="13">
        <f>IFERROR(G335*Datos!$B$3, "Revisar")</f>
        <v>1236.964286</v>
      </c>
      <c r="I335" s="13">
        <f t="shared" si="1"/>
        <v>197.9142857</v>
      </c>
    </row>
    <row r="336">
      <c r="A336" s="8" t="s">
        <v>674</v>
      </c>
      <c r="B336" s="9" t="s">
        <v>695</v>
      </c>
      <c r="C336" s="10" t="s">
        <v>696</v>
      </c>
      <c r="D336" s="11">
        <f>IFERROR((VLOOKUP(B336, Roccia!$B$2:$D997, 3, FALSE)*(1+Datos!$E$2)), "Revisar")</f>
        <v>434.208</v>
      </c>
      <c r="E336" s="11">
        <f>IFERROR(D336*Datos!$B$3, "Revisar")</f>
        <v>651.312</v>
      </c>
      <c r="F336" s="12">
        <f>IFERROR(E336*Datos!$B$1, "Revisar")</f>
        <v>376162.7055</v>
      </c>
      <c r="G336" s="13">
        <f>IFERROR((VLOOKUP(B336, Roccia!$B$2:$D997, 3, FALSE) /(1-Datos!$E$1)), "Revisar")</f>
        <v>516.9142857</v>
      </c>
      <c r="H336" s="13">
        <f>IFERROR(G336*Datos!$B$3, "Revisar")</f>
        <v>775.3714286</v>
      </c>
      <c r="I336" s="13">
        <f t="shared" si="1"/>
        <v>124.0594286</v>
      </c>
    </row>
    <row r="337">
      <c r="A337" s="8" t="s">
        <v>674</v>
      </c>
      <c r="B337" s="9" t="s">
        <v>697</v>
      </c>
      <c r="C337" s="10" t="s">
        <v>698</v>
      </c>
      <c r="D337" s="11">
        <f>IFERROR((VLOOKUP(B337, Roccia!$B$2:$D997, 3, FALSE)*(1+Datos!$E$2)), "Revisar")</f>
        <v>207.372</v>
      </c>
      <c r="E337" s="11">
        <f>IFERROR(D337*Datos!$B$3, "Revisar")</f>
        <v>311.058</v>
      </c>
      <c r="F337" s="12">
        <f>IFERROR(E337*Datos!$B$1, "Revisar")</f>
        <v>179650.3348</v>
      </c>
      <c r="G337" s="13">
        <f>IFERROR((VLOOKUP(B337, Roccia!$B$2:$D997, 3, FALSE) /(1-Datos!$E$1)), "Revisar")</f>
        <v>246.8714286</v>
      </c>
      <c r="H337" s="13">
        <f>IFERROR(G337*Datos!$B$3, "Revisar")</f>
        <v>370.3071429</v>
      </c>
      <c r="I337" s="13">
        <f t="shared" si="1"/>
        <v>59.24914286</v>
      </c>
    </row>
    <row r="338">
      <c r="A338" s="8" t="s">
        <v>674</v>
      </c>
      <c r="B338" s="9" t="s">
        <v>699</v>
      </c>
      <c r="C338" s="10" t="s">
        <v>700</v>
      </c>
      <c r="D338" s="11">
        <f>IFERROR((VLOOKUP(B338, Roccia!$B$2:$D997, 3, FALSE)*(1+Datos!$E$2)), "Revisar")</f>
        <v>60</v>
      </c>
      <c r="E338" s="11">
        <f>IFERROR(D338*Datos!$B$3, "Revisar")</f>
        <v>90</v>
      </c>
      <c r="F338" s="12">
        <f>IFERROR(E338*Datos!$B$1, "Revisar")</f>
        <v>51979.149</v>
      </c>
      <c r="G338" s="13">
        <f>IFERROR((VLOOKUP(B338, Roccia!$B$2:$D997, 3, FALSE) /(1-Datos!$E$1)), "Revisar")</f>
        <v>71.42857143</v>
      </c>
      <c r="H338" s="13">
        <f>IFERROR(G338*Datos!$B$3, "Revisar")</f>
        <v>107.1428571</v>
      </c>
      <c r="I338" s="13">
        <f t="shared" si="1"/>
        <v>17.14285714</v>
      </c>
    </row>
    <row r="339">
      <c r="A339" s="8" t="s">
        <v>674</v>
      </c>
      <c r="B339" s="9" t="s">
        <v>701</v>
      </c>
      <c r="C339" s="10" t="s">
        <v>702</v>
      </c>
      <c r="D339" s="11">
        <f>IFERROR((VLOOKUP(B339, Roccia!$B$2:$D997, 3, FALSE)*(1+Datos!$E$2)), "Revisar")</f>
        <v>53.868</v>
      </c>
      <c r="E339" s="11">
        <f>IFERROR(D339*Datos!$B$3, "Revisar")</f>
        <v>80.802</v>
      </c>
      <c r="F339" s="12">
        <f>IFERROR(E339*Datos!$B$1, "Revisar")</f>
        <v>46666.87997</v>
      </c>
      <c r="G339" s="13">
        <f>IFERROR((VLOOKUP(B339, Roccia!$B$2:$D997, 3, FALSE) /(1-Datos!$E$1)), "Revisar")</f>
        <v>64.12857143</v>
      </c>
      <c r="H339" s="13">
        <f>IFERROR(G339*Datos!$B$3, "Revisar")</f>
        <v>96.19285714</v>
      </c>
      <c r="I339" s="13">
        <f t="shared" si="1"/>
        <v>15.39085714</v>
      </c>
    </row>
    <row r="340">
      <c r="A340" s="8" t="s">
        <v>674</v>
      </c>
      <c r="B340" s="9" t="s">
        <v>703</v>
      </c>
      <c r="C340" s="10" t="s">
        <v>704</v>
      </c>
      <c r="D340" s="11">
        <f>IFERROR((VLOOKUP(B340, Roccia!$B$2:$D997, 3, FALSE)*(1+Datos!$E$2)), "Revisar")</f>
        <v>42</v>
      </c>
      <c r="E340" s="11">
        <f>IFERROR(D340*Datos!$B$3, "Revisar")</f>
        <v>63</v>
      </c>
      <c r="F340" s="12">
        <f>IFERROR(E340*Datos!$B$1, "Revisar")</f>
        <v>36385.4043</v>
      </c>
      <c r="G340" s="13">
        <f>IFERROR((VLOOKUP(B340, Roccia!$B$2:$D997, 3, FALSE) /(1-Datos!$E$1)), "Revisar")</f>
        <v>50</v>
      </c>
      <c r="H340" s="13">
        <f>IFERROR(G340*Datos!$B$3, "Revisar")</f>
        <v>75</v>
      </c>
      <c r="I340" s="13">
        <f t="shared" si="1"/>
        <v>12</v>
      </c>
    </row>
    <row r="341">
      <c r="A341" s="8" t="s">
        <v>674</v>
      </c>
      <c r="B341" s="9" t="s">
        <v>705</v>
      </c>
      <c r="C341" s="10" t="s">
        <v>706</v>
      </c>
      <c r="D341" s="11">
        <f>IFERROR((VLOOKUP(B341, Roccia!$B$2:$D997, 3, FALSE)*(1+Datos!$E$2)), "Revisar")</f>
        <v>42</v>
      </c>
      <c r="E341" s="11">
        <f>IFERROR(D341*Datos!$B$3, "Revisar")</f>
        <v>63</v>
      </c>
      <c r="F341" s="12">
        <f>IFERROR(E341*Datos!$B$1, "Revisar")</f>
        <v>36385.4043</v>
      </c>
      <c r="G341" s="13">
        <f>IFERROR((VLOOKUP(B341, Roccia!$B$2:$D997, 3, FALSE) /(1-Datos!$E$1)), "Revisar")</f>
        <v>50</v>
      </c>
      <c r="H341" s="13">
        <f>IFERROR(G341*Datos!$B$3, "Revisar")</f>
        <v>75</v>
      </c>
      <c r="I341" s="13">
        <f t="shared" si="1"/>
        <v>12</v>
      </c>
    </row>
    <row r="342">
      <c r="A342" s="8" t="s">
        <v>674</v>
      </c>
      <c r="B342" s="9" t="s">
        <v>707</v>
      </c>
      <c r="C342" s="10" t="s">
        <v>708</v>
      </c>
      <c r="D342" s="11">
        <f>IFERROR((VLOOKUP(B342, Roccia!$B$2:$D997, 3, FALSE)*(1+Datos!$E$2)), "Revisar")</f>
        <v>160.872</v>
      </c>
      <c r="E342" s="11">
        <f>IFERROR(D342*Datos!$B$3, "Revisar")</f>
        <v>241.308</v>
      </c>
      <c r="F342" s="12">
        <f>IFERROR(E342*Datos!$B$1, "Revisar")</f>
        <v>139366.4943</v>
      </c>
      <c r="G342" s="13">
        <f>IFERROR((VLOOKUP(B342, Roccia!$B$2:$D997, 3, FALSE) /(1-Datos!$E$1)), "Revisar")</f>
        <v>191.5142857</v>
      </c>
      <c r="H342" s="13">
        <f>IFERROR(G342*Datos!$B$3, "Revisar")</f>
        <v>287.2714286</v>
      </c>
      <c r="I342" s="13">
        <f t="shared" si="1"/>
        <v>45.96342857</v>
      </c>
    </row>
    <row r="343">
      <c r="A343" s="8" t="s">
        <v>674</v>
      </c>
      <c r="B343" s="9" t="s">
        <v>709</v>
      </c>
      <c r="C343" s="10" t="s">
        <v>710</v>
      </c>
      <c r="D343" s="11">
        <f>IFERROR((VLOOKUP(B343, Roccia!$B$2:$D997, 3, FALSE)*(1+Datos!$E$2)), "Revisar")</f>
        <v>12.78</v>
      </c>
      <c r="E343" s="11">
        <f>IFERROR(D343*Datos!$B$3, "Revisar")</f>
        <v>19.17</v>
      </c>
      <c r="F343" s="12">
        <f>IFERROR(E343*Datos!$B$1, "Revisar")</f>
        <v>11071.55874</v>
      </c>
      <c r="G343" s="13">
        <f>IFERROR((VLOOKUP(B343, Roccia!$B$2:$D997, 3, FALSE) /(1-Datos!$E$1)), "Revisar")</f>
        <v>15.21428571</v>
      </c>
      <c r="H343" s="13">
        <f>IFERROR(G343*Datos!$B$3, "Revisar")</f>
        <v>22.82142857</v>
      </c>
      <c r="I343" s="13">
        <f t="shared" si="1"/>
        <v>3.651428571</v>
      </c>
    </row>
    <row r="344">
      <c r="A344" s="8" t="s">
        <v>674</v>
      </c>
      <c r="B344" s="9" t="s">
        <v>711</v>
      </c>
      <c r="C344" s="10" t="s">
        <v>712</v>
      </c>
      <c r="D344" s="11">
        <f>IFERROR((VLOOKUP(B344, Roccia!$B$2:$D997, 3, FALSE)*(1+Datos!$E$2)), "Revisar")</f>
        <v>14.916</v>
      </c>
      <c r="E344" s="11">
        <f>IFERROR(D344*Datos!$B$3, "Revisar")</f>
        <v>22.374</v>
      </c>
      <c r="F344" s="12">
        <f>IFERROR(E344*Datos!$B$1, "Revisar")</f>
        <v>12922.01644</v>
      </c>
      <c r="G344" s="13">
        <f>IFERROR((VLOOKUP(B344, Roccia!$B$2:$D997, 3, FALSE) /(1-Datos!$E$1)), "Revisar")</f>
        <v>17.75714286</v>
      </c>
      <c r="H344" s="13">
        <f>IFERROR(G344*Datos!$B$3, "Revisar")</f>
        <v>26.63571429</v>
      </c>
      <c r="I344" s="13">
        <f t="shared" si="1"/>
        <v>4.261714286</v>
      </c>
    </row>
    <row r="345">
      <c r="A345" s="8" t="s">
        <v>674</v>
      </c>
      <c r="B345" s="9" t="s">
        <v>713</v>
      </c>
      <c r="C345" s="10" t="s">
        <v>714</v>
      </c>
      <c r="D345" s="11">
        <f>IFERROR((VLOOKUP(B345, Roccia!$B$2:$D997, 3, FALSE)*(1+Datos!$E$2)), "Revisar")</f>
        <v>20.016</v>
      </c>
      <c r="E345" s="11">
        <f>IFERROR(D345*Datos!$B$3, "Revisar")</f>
        <v>30.024</v>
      </c>
      <c r="F345" s="12">
        <f>IFERROR(E345*Datos!$B$1, "Revisar")</f>
        <v>17340.24411</v>
      </c>
      <c r="G345" s="13">
        <f>IFERROR((VLOOKUP(B345, Roccia!$B$2:$D997, 3, FALSE) /(1-Datos!$E$1)), "Revisar")</f>
        <v>23.82857143</v>
      </c>
      <c r="H345" s="13">
        <f>IFERROR(G345*Datos!$B$3, "Revisar")</f>
        <v>35.74285714</v>
      </c>
      <c r="I345" s="13">
        <f t="shared" si="1"/>
        <v>5.718857143</v>
      </c>
    </row>
    <row r="346">
      <c r="A346" s="8" t="s">
        <v>674</v>
      </c>
      <c r="B346" s="9" t="s">
        <v>715</v>
      </c>
      <c r="C346" s="10" t="s">
        <v>716</v>
      </c>
      <c r="D346" s="11">
        <f>IFERROR((VLOOKUP(B346, Roccia!$B$2:$D997, 3, FALSE)*(1+Datos!$E$2)), "Revisar")</f>
        <v>23.772</v>
      </c>
      <c r="E346" s="11">
        <f>IFERROR(D346*Datos!$B$3, "Revisar")</f>
        <v>35.658</v>
      </c>
      <c r="F346" s="12">
        <f>IFERROR(E346*Datos!$B$1, "Revisar")</f>
        <v>20594.13883</v>
      </c>
      <c r="G346" s="13">
        <f>IFERROR((VLOOKUP(B346, Roccia!$B$2:$D997, 3, FALSE) /(1-Datos!$E$1)), "Revisar")</f>
        <v>28.3</v>
      </c>
      <c r="H346" s="13">
        <f>IFERROR(G346*Datos!$B$3, "Revisar")</f>
        <v>42.45</v>
      </c>
      <c r="I346" s="13">
        <f t="shared" si="1"/>
        <v>6.792</v>
      </c>
    </row>
    <row r="347">
      <c r="A347" s="8" t="s">
        <v>674</v>
      </c>
      <c r="B347" s="9" t="s">
        <v>717</v>
      </c>
      <c r="C347" s="10" t="s">
        <v>718</v>
      </c>
      <c r="D347" s="11">
        <f>IFERROR((VLOOKUP(B347, Roccia!$B$2:$D997, 3, FALSE)*(1+Datos!$E$2)), "Revisar")</f>
        <v>29.172</v>
      </c>
      <c r="E347" s="11">
        <f>IFERROR(D347*Datos!$B$3, "Revisar")</f>
        <v>43.758</v>
      </c>
      <c r="F347" s="12">
        <f>IFERROR(E347*Datos!$B$1, "Revisar")</f>
        <v>25272.26224</v>
      </c>
      <c r="G347" s="13">
        <f>IFERROR((VLOOKUP(B347, Roccia!$B$2:$D997, 3, FALSE) /(1-Datos!$E$1)), "Revisar")</f>
        <v>34.72857143</v>
      </c>
      <c r="H347" s="13">
        <f>IFERROR(G347*Datos!$B$3, "Revisar")</f>
        <v>52.09285714</v>
      </c>
      <c r="I347" s="13">
        <f t="shared" si="1"/>
        <v>8.334857143</v>
      </c>
    </row>
    <row r="348">
      <c r="A348" s="8" t="s">
        <v>719</v>
      </c>
      <c r="B348" s="9" t="s">
        <v>720</v>
      </c>
      <c r="C348" s="10" t="s">
        <v>721</v>
      </c>
      <c r="D348" s="11">
        <f>IFERROR((VLOOKUP(B348, Roccia!$B$2:$D997, 3, FALSE)*(1+Datos!$E$2)), "Revisar")</f>
        <v>28297.956</v>
      </c>
      <c r="E348" s="11">
        <f>IFERROR(D348*Datos!$B$3, "Revisar")</f>
        <v>42446.934</v>
      </c>
      <c r="F348" s="12">
        <f>IFERROR(E348*Datos!$B$1, "Revisar")</f>
        <v>24515061.19</v>
      </c>
      <c r="G348" s="13">
        <f>IFERROR((VLOOKUP(B348, Roccia!$B$2:$D997, 3, FALSE) /(1-Datos!$E$1)), "Revisar")</f>
        <v>33688.04286</v>
      </c>
      <c r="H348" s="13">
        <f>IFERROR(G348*Datos!$B$3, "Revisar")</f>
        <v>50532.06429</v>
      </c>
      <c r="I348" s="13">
        <f t="shared" si="1"/>
        <v>8085.130286</v>
      </c>
    </row>
    <row r="349">
      <c r="A349" s="8" t="s">
        <v>722</v>
      </c>
      <c r="B349" s="9" t="s">
        <v>723</v>
      </c>
      <c r="C349" s="10" t="s">
        <v>724</v>
      </c>
      <c r="D349" s="11">
        <f>IFERROR((VLOOKUP(B349, Roccia!$B$2:$D997, 3, FALSE)*(1+Datos!$E$2)), "Revisar")</f>
        <v>2908.272</v>
      </c>
      <c r="E349" s="11">
        <f>IFERROR(D349*Datos!$B$3, "Revisar")</f>
        <v>4362.408</v>
      </c>
      <c r="F349" s="12">
        <f>IFERROR(E349*Datos!$B$1, "Revisar")</f>
        <v>2519491.727</v>
      </c>
      <c r="G349" s="13">
        <f>IFERROR((VLOOKUP(B349, Roccia!$B$2:$D997, 3, FALSE) /(1-Datos!$E$1)), "Revisar")</f>
        <v>3462.228571</v>
      </c>
      <c r="H349" s="13">
        <f>IFERROR(G349*Datos!$B$3, "Revisar")</f>
        <v>5193.342857</v>
      </c>
      <c r="I349" s="13">
        <f t="shared" si="1"/>
        <v>830.9348571</v>
      </c>
    </row>
    <row r="350">
      <c r="A350" s="8" t="s">
        <v>722</v>
      </c>
      <c r="B350" s="9" t="s">
        <v>725</v>
      </c>
      <c r="C350" s="10" t="s">
        <v>726</v>
      </c>
      <c r="D350" s="11">
        <f>IFERROR((VLOOKUP(B350, Roccia!$B$2:$D997, 3, FALSE)*(1+Datos!$E$2)), "Revisar")</f>
        <v>2903.196</v>
      </c>
      <c r="E350" s="11">
        <f>IFERROR(D350*Datos!$B$3, "Revisar")</f>
        <v>4354.794</v>
      </c>
      <c r="F350" s="12">
        <f>IFERROR(E350*Datos!$B$1, "Revisar")</f>
        <v>2515094.291</v>
      </c>
      <c r="G350" s="13">
        <f>IFERROR((VLOOKUP(B350, Roccia!$B$2:$D997, 3, FALSE) /(1-Datos!$E$1)), "Revisar")</f>
        <v>3456.185714</v>
      </c>
      <c r="H350" s="13">
        <f>IFERROR(G350*Datos!$B$3, "Revisar")</f>
        <v>5184.278571</v>
      </c>
      <c r="I350" s="13">
        <f t="shared" si="1"/>
        <v>829.4845714</v>
      </c>
    </row>
    <row r="351">
      <c r="A351" s="8" t="s">
        <v>722</v>
      </c>
      <c r="B351" s="9" t="s">
        <v>727</v>
      </c>
      <c r="C351" s="10" t="s">
        <v>728</v>
      </c>
      <c r="D351" s="11">
        <f>IFERROR((VLOOKUP(B351, Roccia!$B$2:$D997, 3, FALSE)*(1+Datos!$E$2)), "Revisar")</f>
        <v>1647.3</v>
      </c>
      <c r="E351" s="11">
        <f>IFERROR(D351*Datos!$B$3, "Revisar")</f>
        <v>2470.95</v>
      </c>
      <c r="F351" s="12">
        <f>IFERROR(E351*Datos!$B$1, "Revisar")</f>
        <v>1427087.536</v>
      </c>
      <c r="G351" s="13">
        <f>IFERROR((VLOOKUP(B351, Roccia!$B$2:$D997, 3, FALSE) /(1-Datos!$E$1)), "Revisar")</f>
        <v>1961.071429</v>
      </c>
      <c r="H351" s="13">
        <f>IFERROR(G351*Datos!$B$3, "Revisar")</f>
        <v>2941.607143</v>
      </c>
      <c r="I351" s="13">
        <f t="shared" si="1"/>
        <v>470.6571429</v>
      </c>
    </row>
    <row r="352">
      <c r="A352" s="8" t="s">
        <v>722</v>
      </c>
      <c r="B352" s="9" t="s">
        <v>729</v>
      </c>
      <c r="C352" s="10" t="s">
        <v>730</v>
      </c>
      <c r="D352" s="11">
        <f>IFERROR((VLOOKUP(B352, Roccia!$B$2:$D997, 3, FALSE)*(1+Datos!$E$2)), "Revisar")</f>
        <v>1709.352</v>
      </c>
      <c r="E352" s="11">
        <f>IFERROR(D352*Datos!$B$3, "Revisar")</f>
        <v>2564.028</v>
      </c>
      <c r="F352" s="12">
        <f>IFERROR(E352*Datos!$B$1, "Revisar")</f>
        <v>1480844.372</v>
      </c>
      <c r="G352" s="13">
        <f>IFERROR((VLOOKUP(B352, Roccia!$B$2:$D997, 3, FALSE) /(1-Datos!$E$1)), "Revisar")</f>
        <v>2034.942857</v>
      </c>
      <c r="H352" s="13">
        <f>IFERROR(G352*Datos!$B$3, "Revisar")</f>
        <v>3052.414286</v>
      </c>
      <c r="I352" s="13">
        <f t="shared" si="1"/>
        <v>488.3862857</v>
      </c>
    </row>
    <row r="353">
      <c r="A353" s="8" t="s">
        <v>722</v>
      </c>
      <c r="B353" s="9" t="s">
        <v>731</v>
      </c>
      <c r="C353" s="10" t="s">
        <v>732</v>
      </c>
      <c r="D353" s="11">
        <f>IFERROR((VLOOKUP(B353, Roccia!$B$2:$D997, 3, FALSE)*(1+Datos!$E$2)), "Revisar")</f>
        <v>2740.776</v>
      </c>
      <c r="E353" s="11">
        <f>IFERROR(D353*Datos!$B$3, "Revisar")</f>
        <v>4111.164</v>
      </c>
      <c r="F353" s="12">
        <f>IFERROR(E353*Datos!$B$1, "Revisar")</f>
        <v>2374386.735</v>
      </c>
      <c r="G353" s="13">
        <f>IFERROR((VLOOKUP(B353, Roccia!$B$2:$D997, 3, FALSE) /(1-Datos!$E$1)), "Revisar")</f>
        <v>3262.828571</v>
      </c>
      <c r="H353" s="13">
        <f>IFERROR(G353*Datos!$B$3, "Revisar")</f>
        <v>4894.242857</v>
      </c>
      <c r="I353" s="13">
        <f t="shared" si="1"/>
        <v>783.0788571</v>
      </c>
    </row>
    <row r="354">
      <c r="A354" s="8" t="s">
        <v>722</v>
      </c>
      <c r="B354" s="9" t="s">
        <v>733</v>
      </c>
      <c r="C354" s="10" t="s">
        <v>734</v>
      </c>
      <c r="D354" s="11">
        <f>IFERROR((VLOOKUP(B354, Roccia!$B$2:$D997, 3, FALSE)*(1+Datos!$E$2)), "Revisar")</f>
        <v>2729.292</v>
      </c>
      <c r="E354" s="11">
        <f>IFERROR(D354*Datos!$B$3, "Revisar")</f>
        <v>4093.938</v>
      </c>
      <c r="F354" s="12">
        <f>IFERROR(E354*Datos!$B$1, "Revisar")</f>
        <v>2364437.926</v>
      </c>
      <c r="G354" s="13">
        <f>IFERROR((VLOOKUP(B354, Roccia!$B$2:$D997, 3, FALSE) /(1-Datos!$E$1)), "Revisar")</f>
        <v>3249.157143</v>
      </c>
      <c r="H354" s="13">
        <f>IFERROR(G354*Datos!$B$3, "Revisar")</f>
        <v>4873.735714</v>
      </c>
      <c r="I354" s="13">
        <f t="shared" si="1"/>
        <v>779.7977143</v>
      </c>
    </row>
    <row r="355">
      <c r="A355" s="8" t="s">
        <v>735</v>
      </c>
      <c r="B355" s="9" t="s">
        <v>736</v>
      </c>
      <c r="C355" s="10" t="s">
        <v>737</v>
      </c>
      <c r="D355" s="11">
        <f>IFERROR((VLOOKUP(B355, Roccia!$B$2:$D997, 3, FALSE)*(1+Datos!$E$2)), "Revisar")</f>
        <v>12361.2</v>
      </c>
      <c r="E355" s="11">
        <f>IFERROR(D355*Datos!$B$3, "Revisar")</f>
        <v>18541.8</v>
      </c>
      <c r="F355" s="12">
        <f>IFERROR(E355*Datos!$B$1, "Revisar")</f>
        <v>10708744.28</v>
      </c>
      <c r="G355" s="13">
        <f>IFERROR((VLOOKUP(B355, Roccia!$B$2:$D997, 3, FALSE) /(1-Datos!$E$1)), "Revisar")</f>
        <v>14715.71429</v>
      </c>
      <c r="H355" s="13">
        <f>IFERROR(G355*Datos!$B$3, "Revisar")</f>
        <v>22073.57143</v>
      </c>
      <c r="I355" s="13">
        <f t="shared" si="1"/>
        <v>3531.771429</v>
      </c>
    </row>
    <row r="356">
      <c r="A356" s="8" t="s">
        <v>735</v>
      </c>
      <c r="B356" s="9" t="s">
        <v>738</v>
      </c>
      <c r="C356" s="10" t="s">
        <v>739</v>
      </c>
      <c r="D356" s="11">
        <f>IFERROR((VLOOKUP(B356, Roccia!$B$2:$D997, 3, FALSE)*(1+Datos!$E$2)), "Revisar")</f>
        <v>12821.04</v>
      </c>
      <c r="E356" s="11">
        <f>IFERROR(D356*Datos!$B$3, "Revisar")</f>
        <v>19231.56</v>
      </c>
      <c r="F356" s="12">
        <f>IFERROR(E356*Datos!$B$1, "Revisar")</f>
        <v>11107112.47</v>
      </c>
      <c r="G356" s="13">
        <f>IFERROR((VLOOKUP(B356, Roccia!$B$2:$D997, 3, FALSE) /(1-Datos!$E$1)), "Revisar")</f>
        <v>15263.14286</v>
      </c>
      <c r="H356" s="13">
        <f>IFERROR(G356*Datos!$B$3, "Revisar")</f>
        <v>22894.71429</v>
      </c>
      <c r="I356" s="13">
        <f t="shared" si="1"/>
        <v>3663.154286</v>
      </c>
    </row>
    <row r="357">
      <c r="A357" s="8" t="s">
        <v>735</v>
      </c>
      <c r="B357" s="9" t="s">
        <v>740</v>
      </c>
      <c r="C357" s="10" t="s">
        <v>741</v>
      </c>
      <c r="D357" s="11">
        <f>IFERROR((VLOOKUP(B357, Roccia!$B$2:$D997, 3, FALSE)*(1+Datos!$E$2)), "Revisar")</f>
        <v>13445.256</v>
      </c>
      <c r="E357" s="11">
        <f>IFERROR(D357*Datos!$B$3, "Revisar")</f>
        <v>20167.884</v>
      </c>
      <c r="F357" s="12">
        <f>IFERROR(E357*Datos!$B$1, "Revisar")</f>
        <v>11647882.75</v>
      </c>
      <c r="G357" s="13">
        <f>IFERROR((VLOOKUP(B357, Roccia!$B$2:$D997, 3, FALSE) /(1-Datos!$E$1)), "Revisar")</f>
        <v>16006.25714</v>
      </c>
      <c r="H357" s="13">
        <f>IFERROR(G357*Datos!$B$3, "Revisar")</f>
        <v>24009.38571</v>
      </c>
      <c r="I357" s="13">
        <f t="shared" si="1"/>
        <v>3841.501714</v>
      </c>
    </row>
    <row r="358">
      <c r="A358" s="8" t="s">
        <v>735</v>
      </c>
      <c r="B358" s="9" t="s">
        <v>742</v>
      </c>
      <c r="C358" s="10" t="s">
        <v>743</v>
      </c>
      <c r="D358" s="11">
        <f>IFERROR((VLOOKUP(B358, Roccia!$B$2:$D997, 3, FALSE)*(1+Datos!$E$2)), "Revisar")</f>
        <v>15543.588</v>
      </c>
      <c r="E358" s="11">
        <f>IFERROR(D358*Datos!$B$3, "Revisar")</f>
        <v>23315.382</v>
      </c>
      <c r="F358" s="12">
        <f>IFERROR(E358*Datos!$B$1, "Revisar")</f>
        <v>13465707.94</v>
      </c>
      <c r="G358" s="13">
        <f>IFERROR((VLOOKUP(B358, Roccia!$B$2:$D997, 3, FALSE) /(1-Datos!$E$1)), "Revisar")</f>
        <v>18504.27143</v>
      </c>
      <c r="H358" s="13">
        <f>IFERROR(G358*Datos!$B$3, "Revisar")</f>
        <v>27756.40714</v>
      </c>
      <c r="I358" s="13">
        <f t="shared" si="1"/>
        <v>4441.025143</v>
      </c>
    </row>
    <row r="359">
      <c r="A359" s="8" t="s">
        <v>735</v>
      </c>
      <c r="B359" s="9" t="s">
        <v>744</v>
      </c>
      <c r="C359" s="10" t="s">
        <v>745</v>
      </c>
      <c r="D359" s="11">
        <f>IFERROR((VLOOKUP(B359, Roccia!$B$2:$D997, 3, FALSE)*(1+Datos!$E$2)), "Revisar")</f>
        <v>15761.736</v>
      </c>
      <c r="E359" s="11">
        <f>IFERROR(D359*Datos!$B$3, "Revisar")</f>
        <v>23642.604</v>
      </c>
      <c r="F359" s="12">
        <f>IFERROR(E359*Datos!$B$1, "Revisar")</f>
        <v>13654693.73</v>
      </c>
      <c r="G359" s="13">
        <f>IFERROR((VLOOKUP(B359, Roccia!$B$2:$D997, 3, FALSE) /(1-Datos!$E$1)), "Revisar")</f>
        <v>18763.97143</v>
      </c>
      <c r="H359" s="13">
        <f>IFERROR(G359*Datos!$B$3, "Revisar")</f>
        <v>28145.95714</v>
      </c>
      <c r="I359" s="13">
        <f t="shared" si="1"/>
        <v>4503.353143</v>
      </c>
    </row>
    <row r="360">
      <c r="A360" s="8" t="s">
        <v>735</v>
      </c>
      <c r="B360" s="9" t="s">
        <v>746</v>
      </c>
      <c r="C360" s="10" t="s">
        <v>747</v>
      </c>
      <c r="D360" s="11">
        <f>IFERROR((VLOOKUP(B360, Roccia!$B$2:$D997, 3, FALSE)*(1+Datos!$E$2)), "Revisar")</f>
        <v>20941.248</v>
      </c>
      <c r="E360" s="11">
        <f>IFERROR(D360*Datos!$B$3, "Revisar")</f>
        <v>31411.872</v>
      </c>
      <c r="F360" s="12">
        <f>IFERROR(E360*Datos!$B$1, "Revisar")</f>
        <v>18141804.17</v>
      </c>
      <c r="G360" s="13">
        <f>IFERROR((VLOOKUP(B360, Roccia!$B$2:$D997, 3, FALSE) /(1-Datos!$E$1)), "Revisar")</f>
        <v>24930.05714</v>
      </c>
      <c r="H360" s="13">
        <f>IFERROR(G360*Datos!$B$3, "Revisar")</f>
        <v>37395.08571</v>
      </c>
      <c r="I360" s="13">
        <f t="shared" si="1"/>
        <v>5983.213714</v>
      </c>
    </row>
    <row r="361">
      <c r="A361" s="8" t="s">
        <v>735</v>
      </c>
      <c r="B361" s="9" t="s">
        <v>748</v>
      </c>
      <c r="C361" s="10" t="s">
        <v>749</v>
      </c>
      <c r="D361" s="11">
        <f>IFERROR((VLOOKUP(B361, Roccia!$B$2:$D997, 3, FALSE)*(1+Datos!$E$2)), "Revisar")</f>
        <v>27037.752</v>
      </c>
      <c r="E361" s="11">
        <f>IFERROR(D361*Datos!$B$3, "Revisar")</f>
        <v>40556.628</v>
      </c>
      <c r="F361" s="12">
        <f>IFERROR(E361*Datos!$B$1, "Revisar")</f>
        <v>23423322.33</v>
      </c>
      <c r="G361" s="13">
        <f>IFERROR((VLOOKUP(B361, Roccia!$B$2:$D997, 3, FALSE) /(1-Datos!$E$1)), "Revisar")</f>
        <v>32187.8</v>
      </c>
      <c r="H361" s="13">
        <f>IFERROR(G361*Datos!$B$3, "Revisar")</f>
        <v>48281.7</v>
      </c>
      <c r="I361" s="13">
        <f t="shared" si="1"/>
        <v>7725.072</v>
      </c>
    </row>
    <row r="362">
      <c r="A362" s="8" t="s">
        <v>735</v>
      </c>
      <c r="B362" s="9" t="s">
        <v>750</v>
      </c>
      <c r="C362" s="10" t="s">
        <v>751</v>
      </c>
      <c r="D362" s="11">
        <f>IFERROR((VLOOKUP(B362, Roccia!$B$2:$D997, 3, FALSE)*(1+Datos!$E$2)), "Revisar")</f>
        <v>34990.932</v>
      </c>
      <c r="E362" s="11">
        <f>IFERROR(D362*Datos!$B$3, "Revisar")</f>
        <v>52486.398</v>
      </c>
      <c r="F362" s="12">
        <f>IFERROR(E362*Datos!$B$1, "Revisar")</f>
        <v>30313314.47</v>
      </c>
      <c r="G362" s="13">
        <f>IFERROR((VLOOKUP(B362, Roccia!$B$2:$D997, 3, FALSE) /(1-Datos!$E$1)), "Revisar")</f>
        <v>41655.87143</v>
      </c>
      <c r="H362" s="13">
        <f>IFERROR(G362*Datos!$B$3, "Revisar")</f>
        <v>62483.80714</v>
      </c>
      <c r="I362" s="13">
        <f t="shared" si="1"/>
        <v>9997.409143</v>
      </c>
    </row>
    <row r="363">
      <c r="A363" s="8" t="s">
        <v>735</v>
      </c>
      <c r="B363" s="9" t="s">
        <v>752</v>
      </c>
      <c r="C363" s="10" t="s">
        <v>753</v>
      </c>
      <c r="D363" s="11">
        <f>IFERROR((VLOOKUP(B363, Roccia!$B$2:$D997, 3, FALSE)*(1+Datos!$E$2)), "Revisar")</f>
        <v>39920.328</v>
      </c>
      <c r="E363" s="11">
        <f>IFERROR(D363*Datos!$B$3, "Revisar")</f>
        <v>59880.492</v>
      </c>
      <c r="F363" s="12">
        <f>IFERROR(E363*Datos!$B$1, "Revisar")</f>
        <v>34583744.62</v>
      </c>
      <c r="G363" s="13">
        <f>IFERROR((VLOOKUP(B363, Roccia!$B$2:$D997, 3, FALSE) /(1-Datos!$E$1)), "Revisar")</f>
        <v>47524.2</v>
      </c>
      <c r="H363" s="13">
        <f>IFERROR(G363*Datos!$B$3, "Revisar")</f>
        <v>71286.3</v>
      </c>
      <c r="I363" s="13">
        <f t="shared" si="1"/>
        <v>11405.808</v>
      </c>
    </row>
    <row r="364">
      <c r="A364" s="8" t="s">
        <v>754</v>
      </c>
      <c r="B364" s="9" t="s">
        <v>755</v>
      </c>
      <c r="C364" s="10" t="s">
        <v>756</v>
      </c>
      <c r="D364" s="11">
        <f>IFERROR((VLOOKUP(B364, Roccia!$B$2:$D997, 3, FALSE)*(1+Datos!$E$2)), "Revisar")</f>
        <v>191.076</v>
      </c>
      <c r="E364" s="11">
        <f>IFERROR(D364*Datos!$B$3, "Revisar")</f>
        <v>286.614</v>
      </c>
      <c r="F364" s="12">
        <f>IFERROR(E364*Datos!$B$1, "Revisar")</f>
        <v>165532.7979</v>
      </c>
      <c r="G364" s="13">
        <f>IFERROR((VLOOKUP(B364, Roccia!$B$2:$D997, 3, FALSE) /(1-Datos!$E$1)), "Revisar")</f>
        <v>227.4714286</v>
      </c>
      <c r="H364" s="13">
        <f>IFERROR(G364*Datos!$B$3, "Revisar")</f>
        <v>341.2071429</v>
      </c>
      <c r="I364" s="13">
        <f t="shared" si="1"/>
        <v>54.59314286</v>
      </c>
    </row>
    <row r="365">
      <c r="A365" s="8" t="s">
        <v>754</v>
      </c>
      <c r="B365" s="9" t="s">
        <v>757</v>
      </c>
      <c r="C365" s="10" t="s">
        <v>758</v>
      </c>
      <c r="D365" s="11">
        <f>IFERROR((VLOOKUP(B365, Roccia!$B$2:$D997, 3, FALSE)*(1+Datos!$E$2)), "Revisar")</f>
        <v>191.076</v>
      </c>
      <c r="E365" s="11">
        <f>IFERROR(D365*Datos!$B$3, "Revisar")</f>
        <v>286.614</v>
      </c>
      <c r="F365" s="12">
        <f>IFERROR(E365*Datos!$B$1, "Revisar")</f>
        <v>165532.7979</v>
      </c>
      <c r="G365" s="13">
        <f>IFERROR((VLOOKUP(B365, Roccia!$B$2:$D997, 3, FALSE) /(1-Datos!$E$1)), "Revisar")</f>
        <v>227.4714286</v>
      </c>
      <c r="H365" s="13">
        <f>IFERROR(G365*Datos!$B$3, "Revisar")</f>
        <v>341.2071429</v>
      </c>
      <c r="I365" s="13">
        <f t="shared" si="1"/>
        <v>54.59314286</v>
      </c>
    </row>
    <row r="366">
      <c r="A366" s="8" t="s">
        <v>754</v>
      </c>
      <c r="B366" s="9" t="s">
        <v>759</v>
      </c>
      <c r="C366" s="10" t="s">
        <v>760</v>
      </c>
      <c r="D366" s="11">
        <f>IFERROR((VLOOKUP(B366, Roccia!$B$2:$D997, 3, FALSE)*(1+Datos!$E$2)), "Revisar")</f>
        <v>333.552</v>
      </c>
      <c r="E366" s="11">
        <f>IFERROR(D366*Datos!$B$3, "Revisar")</f>
        <v>500.328</v>
      </c>
      <c r="F366" s="12">
        <f>IFERROR(E366*Datos!$B$1, "Revisar")</f>
        <v>288962.4851</v>
      </c>
      <c r="G366" s="13">
        <f>IFERROR((VLOOKUP(B366, Roccia!$B$2:$D997, 3, FALSE) /(1-Datos!$E$1)), "Revisar")</f>
        <v>397.0857143</v>
      </c>
      <c r="H366" s="13">
        <f>IFERROR(G366*Datos!$B$3, "Revisar")</f>
        <v>595.6285714</v>
      </c>
      <c r="I366" s="13">
        <f t="shared" si="1"/>
        <v>95.30057143</v>
      </c>
    </row>
    <row r="367">
      <c r="A367" s="8" t="s">
        <v>754</v>
      </c>
      <c r="B367" s="9" t="s">
        <v>761</v>
      </c>
      <c r="C367" s="10" t="s">
        <v>762</v>
      </c>
      <c r="D367" s="11">
        <f>IFERROR((VLOOKUP(B367, Roccia!$B$2:$D997, 3, FALSE)*(1+Datos!$E$2)), "Revisar")</f>
        <v>13.692</v>
      </c>
      <c r="E367" s="11">
        <f>IFERROR(D367*Datos!$B$3, "Revisar")</f>
        <v>20.538</v>
      </c>
      <c r="F367" s="12">
        <f>IFERROR(E367*Datos!$B$1, "Revisar")</f>
        <v>11861.6418</v>
      </c>
      <c r="G367" s="13">
        <f>IFERROR((VLOOKUP(B367, Roccia!$B$2:$D997, 3, FALSE) /(1-Datos!$E$1)), "Revisar")</f>
        <v>16.3</v>
      </c>
      <c r="H367" s="13">
        <f>IFERROR(G367*Datos!$B$3, "Revisar")</f>
        <v>24.45</v>
      </c>
      <c r="I367" s="13">
        <f t="shared" si="1"/>
        <v>3.912</v>
      </c>
    </row>
    <row r="368">
      <c r="A368" s="8" t="s">
        <v>754</v>
      </c>
      <c r="B368" s="9" t="s">
        <v>763</v>
      </c>
      <c r="C368" s="10" t="s">
        <v>764</v>
      </c>
      <c r="D368" s="11">
        <f>IFERROR((VLOOKUP(B368, Roccia!$B$2:$D997, 3, FALSE)*(1+Datos!$E$2)), "Revisar")</f>
        <v>7.704</v>
      </c>
      <c r="E368" s="11">
        <f>IFERROR(D368*Datos!$B$3, "Revisar")</f>
        <v>11.556</v>
      </c>
      <c r="F368" s="12">
        <f>IFERROR(E368*Datos!$B$1, "Revisar")</f>
        <v>6674.122732</v>
      </c>
      <c r="G368" s="13">
        <f>IFERROR((VLOOKUP(B368, Roccia!$B$2:$D997, 3, FALSE) /(1-Datos!$E$1)), "Revisar")</f>
        <v>9.171428571</v>
      </c>
      <c r="H368" s="13">
        <f>IFERROR(G368*Datos!$B$3, "Revisar")</f>
        <v>13.75714286</v>
      </c>
      <c r="I368" s="13">
        <f t="shared" si="1"/>
        <v>2.201142857</v>
      </c>
    </row>
    <row r="369">
      <c r="A369" s="8" t="s">
        <v>754</v>
      </c>
      <c r="B369" s="9" t="s">
        <v>765</v>
      </c>
      <c r="C369" s="10" t="s">
        <v>766</v>
      </c>
      <c r="D369" s="11">
        <f>IFERROR((VLOOKUP(B369, Roccia!$B$2:$D997, 3, FALSE)*(1+Datos!$E$2)), "Revisar")</f>
        <v>7.704</v>
      </c>
      <c r="E369" s="11">
        <f>IFERROR(D369*Datos!$B$3, "Revisar")</f>
        <v>11.556</v>
      </c>
      <c r="F369" s="12">
        <f>IFERROR(E369*Datos!$B$1, "Revisar")</f>
        <v>6674.122732</v>
      </c>
      <c r="G369" s="13">
        <f>IFERROR((VLOOKUP(B369, Roccia!$B$2:$D997, 3, FALSE) /(1-Datos!$E$1)), "Revisar")</f>
        <v>9.171428571</v>
      </c>
      <c r="H369" s="13">
        <f>IFERROR(G369*Datos!$B$3, "Revisar")</f>
        <v>13.75714286</v>
      </c>
      <c r="I369" s="13">
        <f t="shared" si="1"/>
        <v>2.201142857</v>
      </c>
    </row>
    <row r="370">
      <c r="A370" s="8" t="s">
        <v>754</v>
      </c>
      <c r="B370" s="9" t="s">
        <v>767</v>
      </c>
      <c r="C370" s="10" t="s">
        <v>768</v>
      </c>
      <c r="D370" s="11">
        <f>IFERROR((VLOOKUP(B370, Roccia!$B$2:$D997, 3, FALSE)*(1+Datos!$E$2)), "Revisar")</f>
        <v>16.104</v>
      </c>
      <c r="E370" s="11">
        <f>IFERROR(D370*Datos!$B$3, "Revisar")</f>
        <v>24.156</v>
      </c>
      <c r="F370" s="12">
        <f>IFERROR(E370*Datos!$B$1, "Revisar")</f>
        <v>13951.20359</v>
      </c>
      <c r="G370" s="13">
        <f>IFERROR((VLOOKUP(B370, Roccia!$B$2:$D997, 3, FALSE) /(1-Datos!$E$1)), "Revisar")</f>
        <v>19.17142857</v>
      </c>
      <c r="H370" s="13">
        <f>IFERROR(G370*Datos!$B$3, "Revisar")</f>
        <v>28.75714286</v>
      </c>
      <c r="I370" s="13">
        <f t="shared" si="1"/>
        <v>4.601142857</v>
      </c>
    </row>
    <row r="371">
      <c r="A371" s="8" t="s">
        <v>754</v>
      </c>
      <c r="B371" s="9" t="s">
        <v>769</v>
      </c>
      <c r="C371" s="10" t="s">
        <v>770</v>
      </c>
      <c r="D371" s="11">
        <f>IFERROR((VLOOKUP(B371, Roccia!$B$2:$D997, 3, FALSE)*(1+Datos!$E$2)), "Revisar")</f>
        <v>205.2</v>
      </c>
      <c r="E371" s="11">
        <f>IFERROR(D371*Datos!$B$3, "Revisar")</f>
        <v>307.8</v>
      </c>
      <c r="F371" s="12">
        <f>IFERROR(E371*Datos!$B$1, "Revisar")</f>
        <v>177768.6896</v>
      </c>
      <c r="G371" s="13">
        <f>IFERROR((VLOOKUP(B371, Roccia!$B$2:$D997, 3, FALSE) /(1-Datos!$E$1)), "Revisar")</f>
        <v>244.2857143</v>
      </c>
      <c r="H371" s="13">
        <f>IFERROR(G371*Datos!$B$3, "Revisar")</f>
        <v>366.4285714</v>
      </c>
      <c r="I371" s="13">
        <f t="shared" si="1"/>
        <v>58.62857143</v>
      </c>
    </row>
    <row r="372">
      <c r="A372" s="8" t="s">
        <v>754</v>
      </c>
      <c r="B372" s="9" t="s">
        <v>771</v>
      </c>
      <c r="C372" s="10" t="s">
        <v>772</v>
      </c>
      <c r="D372" s="11">
        <f>IFERROR((VLOOKUP(B372, Roccia!$B$2:$D997, 3, FALSE)*(1+Datos!$E$2)), "Revisar")</f>
        <v>205.2</v>
      </c>
      <c r="E372" s="11">
        <f>IFERROR(D372*Datos!$B$3, "Revisar")</f>
        <v>307.8</v>
      </c>
      <c r="F372" s="12">
        <f>IFERROR(E372*Datos!$B$1, "Revisar")</f>
        <v>177768.6896</v>
      </c>
      <c r="G372" s="13">
        <f>IFERROR((VLOOKUP(B372, Roccia!$B$2:$D997, 3, FALSE) /(1-Datos!$E$1)), "Revisar")</f>
        <v>244.2857143</v>
      </c>
      <c r="H372" s="13">
        <f>IFERROR(G372*Datos!$B$3, "Revisar")</f>
        <v>366.4285714</v>
      </c>
      <c r="I372" s="13">
        <f t="shared" si="1"/>
        <v>58.62857143</v>
      </c>
    </row>
    <row r="373">
      <c r="A373" s="8" t="s">
        <v>754</v>
      </c>
      <c r="B373" s="9" t="s">
        <v>773</v>
      </c>
      <c r="C373" s="10" t="s">
        <v>774</v>
      </c>
      <c r="D373" s="11">
        <f>IFERROR((VLOOKUP(B373, Roccia!$B$2:$D997, 3, FALSE)*(1+Datos!$E$2)), "Revisar")</f>
        <v>157.404</v>
      </c>
      <c r="E373" s="11">
        <f>IFERROR(D373*Datos!$B$3, "Revisar")</f>
        <v>236.106</v>
      </c>
      <c r="F373" s="12">
        <f>IFERROR(E373*Datos!$B$1, "Revisar")</f>
        <v>136362.0995</v>
      </c>
      <c r="G373" s="13">
        <f>IFERROR((VLOOKUP(B373, Roccia!$B$2:$D997, 3, FALSE) /(1-Datos!$E$1)), "Revisar")</f>
        <v>187.3857143</v>
      </c>
      <c r="H373" s="13">
        <f>IFERROR(G373*Datos!$B$3, "Revisar")</f>
        <v>281.0785714</v>
      </c>
      <c r="I373" s="13">
        <f t="shared" si="1"/>
        <v>44.97257143</v>
      </c>
    </row>
    <row r="374">
      <c r="A374" s="8" t="s">
        <v>754</v>
      </c>
      <c r="B374" s="9" t="s">
        <v>775</v>
      </c>
      <c r="C374" s="10" t="s">
        <v>776</v>
      </c>
      <c r="D374" s="11">
        <f>IFERROR((VLOOKUP(B374, Roccia!$B$2:$D997, 3, FALSE)*(1+Datos!$E$2)), "Revisar")</f>
        <v>157.404</v>
      </c>
      <c r="E374" s="11">
        <f>IFERROR(D374*Datos!$B$3, "Revisar")</f>
        <v>236.106</v>
      </c>
      <c r="F374" s="12">
        <f>IFERROR(E374*Datos!$B$1, "Revisar")</f>
        <v>136362.0995</v>
      </c>
      <c r="G374" s="13">
        <f>IFERROR((VLOOKUP(B374, Roccia!$B$2:$D997, 3, FALSE) /(1-Datos!$E$1)), "Revisar")</f>
        <v>187.3857143</v>
      </c>
      <c r="H374" s="13">
        <f>IFERROR(G374*Datos!$B$3, "Revisar")</f>
        <v>281.0785714</v>
      </c>
      <c r="I374" s="13">
        <f t="shared" si="1"/>
        <v>44.97257143</v>
      </c>
    </row>
    <row r="375">
      <c r="A375" s="8" t="s">
        <v>777</v>
      </c>
      <c r="B375" s="9" t="s">
        <v>778</v>
      </c>
      <c r="C375" s="10" t="s">
        <v>779</v>
      </c>
      <c r="D375" s="11">
        <f>IFERROR((VLOOKUP(B375, Roccia!$B$2:$D997, 3, FALSE)*(1+Datos!$E$2)), "Revisar")</f>
        <v>29.064</v>
      </c>
      <c r="E375" s="11">
        <f>IFERROR(D375*Datos!$B$3, "Revisar")</f>
        <v>43.596</v>
      </c>
      <c r="F375" s="12">
        <f>IFERROR(E375*Datos!$B$1, "Revisar")</f>
        <v>25178.69978</v>
      </c>
      <c r="G375" s="13">
        <f>IFERROR((VLOOKUP(B375, Roccia!$B$2:$D997, 3, FALSE) /(1-Datos!$E$1)), "Revisar")</f>
        <v>34.6</v>
      </c>
      <c r="H375" s="13">
        <f>IFERROR(G375*Datos!$B$3, "Revisar")</f>
        <v>51.9</v>
      </c>
      <c r="I375" s="13">
        <f t="shared" si="1"/>
        <v>8.304</v>
      </c>
    </row>
    <row r="376">
      <c r="A376" s="8" t="s">
        <v>777</v>
      </c>
      <c r="B376" s="9" t="s">
        <v>780</v>
      </c>
      <c r="C376" s="10" t="s">
        <v>781</v>
      </c>
      <c r="D376" s="11">
        <f>IFERROR((VLOOKUP(B376, Roccia!$B$2:$D997, 3, FALSE)*(1+Datos!$E$2)), "Revisar")</f>
        <v>21.6</v>
      </c>
      <c r="E376" s="11">
        <f>IFERROR(D376*Datos!$B$3, "Revisar")</f>
        <v>32.4</v>
      </c>
      <c r="F376" s="12">
        <f>IFERROR(E376*Datos!$B$1, "Revisar")</f>
        <v>18712.49364</v>
      </c>
      <c r="G376" s="13">
        <f>IFERROR((VLOOKUP(B376, Roccia!$B$2:$D997, 3, FALSE) /(1-Datos!$E$1)), "Revisar")</f>
        <v>25.71428571</v>
      </c>
      <c r="H376" s="13">
        <f>IFERROR(G376*Datos!$B$3, "Revisar")</f>
        <v>38.57142857</v>
      </c>
      <c r="I376" s="13">
        <f t="shared" si="1"/>
        <v>6.171428571</v>
      </c>
    </row>
    <row r="377">
      <c r="A377" s="8" t="s">
        <v>777</v>
      </c>
      <c r="B377" s="9" t="s">
        <v>780</v>
      </c>
      <c r="C377" s="10" t="s">
        <v>782</v>
      </c>
      <c r="D377" s="11">
        <f>IFERROR((VLOOKUP(B377, Roccia!$B$2:$D997, 3, FALSE)*(1+Datos!$E$2)), "Revisar")</f>
        <v>21.6</v>
      </c>
      <c r="E377" s="11">
        <f>IFERROR(D377*Datos!$B$3, "Revisar")</f>
        <v>32.4</v>
      </c>
      <c r="F377" s="12">
        <f>IFERROR(E377*Datos!$B$1, "Revisar")</f>
        <v>18712.49364</v>
      </c>
      <c r="G377" s="13">
        <f>IFERROR((VLOOKUP(B377, Roccia!$B$2:$D997, 3, FALSE) /(1-Datos!$E$1)), "Revisar")</f>
        <v>25.71428571</v>
      </c>
      <c r="H377" s="13">
        <f>IFERROR(G377*Datos!$B$3, "Revisar")</f>
        <v>38.57142857</v>
      </c>
      <c r="I377" s="13">
        <f t="shared" si="1"/>
        <v>6.171428571</v>
      </c>
    </row>
    <row r="378">
      <c r="A378" s="8" t="s">
        <v>777</v>
      </c>
      <c r="B378" s="9" t="s">
        <v>783</v>
      </c>
      <c r="C378" s="10" t="s">
        <v>784</v>
      </c>
      <c r="D378" s="11">
        <f>IFERROR((VLOOKUP(B378, Roccia!$B$2:$D997, 3, FALSE)*(1+Datos!$E$2)), "Revisar")</f>
        <v>68.4</v>
      </c>
      <c r="E378" s="11">
        <f>IFERROR(D378*Datos!$B$3, "Revisar")</f>
        <v>102.6</v>
      </c>
      <c r="F378" s="12">
        <f>IFERROR(E378*Datos!$B$1, "Revisar")</f>
        <v>59256.22986</v>
      </c>
      <c r="G378" s="13">
        <f>IFERROR((VLOOKUP(B378, Roccia!$B$2:$D997, 3, FALSE) /(1-Datos!$E$1)), "Revisar")</f>
        <v>81.42857143</v>
      </c>
      <c r="H378" s="13">
        <f>IFERROR(G378*Datos!$B$3, "Revisar")</f>
        <v>122.1428571</v>
      </c>
      <c r="I378" s="13">
        <f t="shared" si="1"/>
        <v>19.54285714</v>
      </c>
    </row>
    <row r="379">
      <c r="A379" s="8" t="s">
        <v>777</v>
      </c>
      <c r="B379" s="9" t="s">
        <v>785</v>
      </c>
      <c r="C379" s="10" t="s">
        <v>786</v>
      </c>
      <c r="D379" s="11">
        <f>IFERROR((VLOOKUP(B379, Roccia!$B$2:$D997, 3, FALSE)*(1+Datos!$E$2)), "Revisar")</f>
        <v>68.4</v>
      </c>
      <c r="E379" s="11">
        <f>IFERROR(D379*Datos!$B$3, "Revisar")</f>
        <v>102.6</v>
      </c>
      <c r="F379" s="12">
        <f>IFERROR(E379*Datos!$B$1, "Revisar")</f>
        <v>59256.22986</v>
      </c>
      <c r="G379" s="13">
        <f>IFERROR((VLOOKUP(B379, Roccia!$B$2:$D997, 3, FALSE) /(1-Datos!$E$1)), "Revisar")</f>
        <v>81.42857143</v>
      </c>
      <c r="H379" s="13">
        <f>IFERROR(G379*Datos!$B$3, "Revisar")</f>
        <v>122.1428571</v>
      </c>
      <c r="I379" s="13">
        <f t="shared" si="1"/>
        <v>19.54285714</v>
      </c>
    </row>
    <row r="380">
      <c r="A380" s="8" t="s">
        <v>777</v>
      </c>
      <c r="B380" s="9" t="s">
        <v>787</v>
      </c>
      <c r="C380" s="10" t="s">
        <v>788</v>
      </c>
      <c r="D380" s="11">
        <f>IFERROR((VLOOKUP(B380, Roccia!$B$2:$D997, 3, FALSE)*(1+Datos!$E$2)), "Revisar")</f>
        <v>78</v>
      </c>
      <c r="E380" s="11">
        <f>IFERROR(D380*Datos!$B$3, "Revisar")</f>
        <v>117</v>
      </c>
      <c r="F380" s="12">
        <f>IFERROR(E380*Datos!$B$1, "Revisar")</f>
        <v>67572.8937</v>
      </c>
      <c r="G380" s="13">
        <f>IFERROR((VLOOKUP(B380, Roccia!$B$2:$D997, 3, FALSE) /(1-Datos!$E$1)), "Revisar")</f>
        <v>92.85714286</v>
      </c>
      <c r="H380" s="13">
        <f>IFERROR(G380*Datos!$B$3, "Revisar")</f>
        <v>139.2857143</v>
      </c>
      <c r="I380" s="13">
        <f t="shared" si="1"/>
        <v>22.28571429</v>
      </c>
    </row>
    <row r="381">
      <c r="A381" s="8" t="s">
        <v>777</v>
      </c>
      <c r="B381" s="9" t="s">
        <v>789</v>
      </c>
      <c r="C381" s="10" t="s">
        <v>790</v>
      </c>
      <c r="D381" s="11">
        <f>IFERROR((VLOOKUP(B381, Roccia!$B$2:$D997, 3, FALSE)*(1+Datos!$E$2)), "Revisar")</f>
        <v>78</v>
      </c>
      <c r="E381" s="11">
        <f>IFERROR(D381*Datos!$B$3, "Revisar")</f>
        <v>117</v>
      </c>
      <c r="F381" s="12">
        <f>IFERROR(E381*Datos!$B$1, "Revisar")</f>
        <v>67572.8937</v>
      </c>
      <c r="G381" s="13">
        <f>IFERROR((VLOOKUP(B381, Roccia!$B$2:$D997, 3, FALSE) /(1-Datos!$E$1)), "Revisar")</f>
        <v>92.85714286</v>
      </c>
      <c r="H381" s="13">
        <f>IFERROR(G381*Datos!$B$3, "Revisar")</f>
        <v>139.2857143</v>
      </c>
      <c r="I381" s="13">
        <f t="shared" si="1"/>
        <v>22.28571429</v>
      </c>
    </row>
    <row r="382">
      <c r="A382" s="8" t="s">
        <v>777</v>
      </c>
      <c r="B382" s="9" t="s">
        <v>791</v>
      </c>
      <c r="C382" s="10" t="s">
        <v>792</v>
      </c>
      <c r="D382" s="11">
        <f>IFERROR((VLOOKUP(B382, Roccia!$B$2:$D997, 3, FALSE)*(1+Datos!$E$2)), "Revisar")</f>
        <v>14.4</v>
      </c>
      <c r="E382" s="11">
        <f>IFERROR(D382*Datos!$B$3, "Revisar")</f>
        <v>21.6</v>
      </c>
      <c r="F382" s="12">
        <f>IFERROR(E382*Datos!$B$1, "Revisar")</f>
        <v>12474.99576</v>
      </c>
      <c r="G382" s="13">
        <f>IFERROR((VLOOKUP(B382, Roccia!$B$2:$D997, 3, FALSE) /(1-Datos!$E$1)), "Revisar")</f>
        <v>17.14285714</v>
      </c>
      <c r="H382" s="13">
        <f>IFERROR(G382*Datos!$B$3, "Revisar")</f>
        <v>25.71428571</v>
      </c>
      <c r="I382" s="13">
        <f t="shared" si="1"/>
        <v>4.114285714</v>
      </c>
    </row>
    <row r="383">
      <c r="A383" s="8" t="s">
        <v>777</v>
      </c>
      <c r="B383" s="9" t="s">
        <v>793</v>
      </c>
      <c r="C383" s="10" t="s">
        <v>794</v>
      </c>
      <c r="D383" s="11">
        <f>IFERROR((VLOOKUP(B383, Roccia!$B$2:$D997, 3, FALSE)*(1+Datos!$E$2)), "Revisar")</f>
        <v>91.2</v>
      </c>
      <c r="E383" s="11">
        <f>IFERROR(D383*Datos!$B$3, "Revisar")</f>
        <v>136.8</v>
      </c>
      <c r="F383" s="12">
        <f>IFERROR(E383*Datos!$B$1, "Revisar")</f>
        <v>79008.30648</v>
      </c>
      <c r="G383" s="13">
        <f>IFERROR((VLOOKUP(B383, Roccia!$B$2:$D997, 3, FALSE) /(1-Datos!$E$1)), "Revisar")</f>
        <v>108.5714286</v>
      </c>
      <c r="H383" s="13">
        <f>IFERROR(G383*Datos!$B$3, "Revisar")</f>
        <v>162.8571429</v>
      </c>
      <c r="I383" s="13">
        <f t="shared" si="1"/>
        <v>26.05714286</v>
      </c>
    </row>
    <row r="384">
      <c r="A384" s="8" t="s">
        <v>777</v>
      </c>
      <c r="B384" s="9" t="s">
        <v>795</v>
      </c>
      <c r="C384" s="10" t="s">
        <v>796</v>
      </c>
      <c r="D384" s="11">
        <f>IFERROR((VLOOKUP(B384, Roccia!$B$2:$D997, 3, FALSE)*(1+Datos!$E$2)), "Revisar")</f>
        <v>73.2</v>
      </c>
      <c r="E384" s="11">
        <f>IFERROR(D384*Datos!$B$3, "Revisar")</f>
        <v>109.8</v>
      </c>
      <c r="F384" s="12">
        <f>IFERROR(E384*Datos!$B$1, "Revisar")</f>
        <v>63414.56178</v>
      </c>
      <c r="G384" s="13">
        <f>IFERROR((VLOOKUP(B384, Roccia!$B$2:$D997, 3, FALSE) /(1-Datos!$E$1)), "Revisar")</f>
        <v>87.14285714</v>
      </c>
      <c r="H384" s="13">
        <f>IFERROR(G384*Datos!$B$3, "Revisar")</f>
        <v>130.7142857</v>
      </c>
      <c r="I384" s="13">
        <f t="shared" si="1"/>
        <v>20.91428571</v>
      </c>
    </row>
    <row r="385">
      <c r="A385" s="8" t="s">
        <v>777</v>
      </c>
      <c r="B385" s="9" t="s">
        <v>797</v>
      </c>
      <c r="C385" s="10" t="s">
        <v>798</v>
      </c>
      <c r="D385" s="11">
        <f>IFERROR((VLOOKUP(B385, Roccia!$B$2:$D997, 3, FALSE)*(1+Datos!$E$2)), "Revisar")</f>
        <v>103.2</v>
      </c>
      <c r="E385" s="11">
        <f>IFERROR(D385*Datos!$B$3, "Revisar")</f>
        <v>154.8</v>
      </c>
      <c r="F385" s="12">
        <f>IFERROR(E385*Datos!$B$1, "Revisar")</f>
        <v>89404.13628</v>
      </c>
      <c r="G385" s="13">
        <f>IFERROR((VLOOKUP(B385, Roccia!$B$2:$D997, 3, FALSE) /(1-Datos!$E$1)), "Revisar")</f>
        <v>122.8571429</v>
      </c>
      <c r="H385" s="13">
        <f>IFERROR(G385*Datos!$B$3, "Revisar")</f>
        <v>184.2857143</v>
      </c>
      <c r="I385" s="13">
        <f t="shared" si="1"/>
        <v>29.48571429</v>
      </c>
    </row>
    <row r="386">
      <c r="A386" s="8" t="s">
        <v>777</v>
      </c>
      <c r="B386" s="9" t="s">
        <v>799</v>
      </c>
      <c r="C386" s="10" t="s">
        <v>800</v>
      </c>
      <c r="D386" s="11">
        <f>IFERROR((VLOOKUP(B386, Roccia!$B$2:$D997, 3, FALSE)*(1+Datos!$E$2)), "Revisar")</f>
        <v>86.4</v>
      </c>
      <c r="E386" s="11">
        <f>IFERROR(D386*Datos!$B$3, "Revisar")</f>
        <v>129.6</v>
      </c>
      <c r="F386" s="12">
        <f>IFERROR(E386*Datos!$B$1, "Revisar")</f>
        <v>74849.97456</v>
      </c>
      <c r="G386" s="13">
        <f>IFERROR((VLOOKUP(B386, Roccia!$B$2:$D997, 3, FALSE) /(1-Datos!$E$1)), "Revisar")</f>
        <v>102.8571429</v>
      </c>
      <c r="H386" s="13">
        <f>IFERROR(G386*Datos!$B$3, "Revisar")</f>
        <v>154.2857143</v>
      </c>
      <c r="I386" s="13">
        <f t="shared" si="1"/>
        <v>24.68571429</v>
      </c>
    </row>
    <row r="387">
      <c r="A387" s="8" t="s">
        <v>777</v>
      </c>
      <c r="B387" s="9" t="s">
        <v>801</v>
      </c>
      <c r="C387" s="10" t="s">
        <v>802</v>
      </c>
      <c r="D387" s="11">
        <f>IFERROR((VLOOKUP(B387, Roccia!$B$2:$D997, 3, FALSE)*(1+Datos!$E$2)), "Revisar")</f>
        <v>42</v>
      </c>
      <c r="E387" s="11">
        <f>IFERROR(D387*Datos!$B$3, "Revisar")</f>
        <v>63</v>
      </c>
      <c r="F387" s="12">
        <f>IFERROR(E387*Datos!$B$1, "Revisar")</f>
        <v>36385.4043</v>
      </c>
      <c r="G387" s="13">
        <f>IFERROR((VLOOKUP(B387, Roccia!$B$2:$D997, 3, FALSE) /(1-Datos!$E$1)), "Revisar")</f>
        <v>50</v>
      </c>
      <c r="H387" s="13">
        <f>IFERROR(G387*Datos!$B$3, "Revisar")</f>
        <v>75</v>
      </c>
      <c r="I387" s="13">
        <f t="shared" si="1"/>
        <v>12</v>
      </c>
    </row>
    <row r="388">
      <c r="A388" s="8" t="s">
        <v>777</v>
      </c>
      <c r="B388" s="9" t="s">
        <v>803</v>
      </c>
      <c r="C388" s="10" t="s">
        <v>804</v>
      </c>
      <c r="D388" s="11">
        <f>IFERROR((VLOOKUP(B388, Roccia!$B$2:$D997, 3, FALSE)*(1+Datos!$E$2)), "Revisar")</f>
        <v>188.016</v>
      </c>
      <c r="E388" s="11">
        <f>IFERROR(D388*Datos!$B$3, "Revisar")</f>
        <v>282.024</v>
      </c>
      <c r="F388" s="12">
        <f>IFERROR(E388*Datos!$B$1, "Revisar")</f>
        <v>162881.8613</v>
      </c>
      <c r="G388" s="13">
        <f>IFERROR((VLOOKUP(B388, Roccia!$B$2:$D997, 3, FALSE) /(1-Datos!$E$1)), "Revisar")</f>
        <v>223.8285714</v>
      </c>
      <c r="H388" s="13">
        <f>IFERROR(G388*Datos!$B$3, "Revisar")</f>
        <v>335.7428571</v>
      </c>
      <c r="I388" s="13">
        <f t="shared" si="1"/>
        <v>53.71885714</v>
      </c>
    </row>
    <row r="389">
      <c r="A389" s="8" t="s">
        <v>777</v>
      </c>
      <c r="B389" s="9" t="s">
        <v>805</v>
      </c>
      <c r="C389" s="10" t="s">
        <v>806</v>
      </c>
      <c r="D389" s="11">
        <f>IFERROR((VLOOKUP(B389, Roccia!$B$2:$D997, 3, FALSE)*(1+Datos!$E$2)), "Revisar")</f>
        <v>188.016</v>
      </c>
      <c r="E389" s="11">
        <f>IFERROR(D389*Datos!$B$3, "Revisar")</f>
        <v>282.024</v>
      </c>
      <c r="F389" s="12">
        <f>IFERROR(E389*Datos!$B$1, "Revisar")</f>
        <v>162881.8613</v>
      </c>
      <c r="G389" s="13">
        <f>IFERROR((VLOOKUP(B389, Roccia!$B$2:$D997, 3, FALSE) /(1-Datos!$E$1)), "Revisar")</f>
        <v>223.8285714</v>
      </c>
      <c r="H389" s="13">
        <f>IFERROR(G389*Datos!$B$3, "Revisar")</f>
        <v>335.7428571</v>
      </c>
      <c r="I389" s="13">
        <f t="shared" si="1"/>
        <v>53.71885714</v>
      </c>
    </row>
    <row r="390">
      <c r="A390" s="8" t="s">
        <v>777</v>
      </c>
      <c r="B390" s="9" t="s">
        <v>807</v>
      </c>
      <c r="C390" s="10" t="s">
        <v>808</v>
      </c>
      <c r="D390" s="11">
        <f>IFERROR((VLOOKUP(B390, Roccia!$B$2:$D997, 3, FALSE)*(1+Datos!$E$2)), "Revisar")</f>
        <v>70.824</v>
      </c>
      <c r="E390" s="11">
        <f>IFERROR(D390*Datos!$B$3, "Revisar")</f>
        <v>106.236</v>
      </c>
      <c r="F390" s="12">
        <f>IFERROR(E390*Datos!$B$1, "Revisar")</f>
        <v>61356.18748</v>
      </c>
      <c r="G390" s="13">
        <f>IFERROR((VLOOKUP(B390, Roccia!$B$2:$D997, 3, FALSE) /(1-Datos!$E$1)), "Revisar")</f>
        <v>84.31428571</v>
      </c>
      <c r="H390" s="13">
        <f>IFERROR(G390*Datos!$B$3, "Revisar")</f>
        <v>126.4714286</v>
      </c>
      <c r="I390" s="13">
        <f t="shared" si="1"/>
        <v>20.23542857</v>
      </c>
    </row>
    <row r="391">
      <c r="A391" s="8" t="s">
        <v>777</v>
      </c>
      <c r="B391" s="9" t="s">
        <v>809</v>
      </c>
      <c r="C391" s="10" t="s">
        <v>810</v>
      </c>
      <c r="D391" s="11">
        <f>IFERROR((VLOOKUP(B391, Roccia!$B$2:$D997, 3, FALSE)*(1+Datos!$E$2)), "Revisar")</f>
        <v>36</v>
      </c>
      <c r="E391" s="11">
        <f>IFERROR(D391*Datos!$B$3, "Revisar")</f>
        <v>54</v>
      </c>
      <c r="F391" s="12">
        <f>IFERROR(E391*Datos!$B$1, "Revisar")</f>
        <v>31187.4894</v>
      </c>
      <c r="G391" s="13">
        <f>IFERROR((VLOOKUP(B391, Roccia!$B$2:$D997, 3, FALSE) /(1-Datos!$E$1)), "Revisar")</f>
        <v>42.85714286</v>
      </c>
      <c r="H391" s="13">
        <f>IFERROR(G391*Datos!$B$3, "Revisar")</f>
        <v>64.28571429</v>
      </c>
      <c r="I391" s="13">
        <f t="shared" si="1"/>
        <v>10.28571429</v>
      </c>
    </row>
    <row r="392">
      <c r="A392" s="8" t="s">
        <v>777</v>
      </c>
      <c r="B392" s="9" t="s">
        <v>811</v>
      </c>
      <c r="C392" s="10" t="s">
        <v>812</v>
      </c>
      <c r="D392" s="11">
        <f>IFERROR((VLOOKUP(B392, Roccia!$B$2:$D997, 3, FALSE)*(1+Datos!$E$2)), "Revisar")</f>
        <v>33.6</v>
      </c>
      <c r="E392" s="11">
        <f>IFERROR(D392*Datos!$B$3, "Revisar")</f>
        <v>50.4</v>
      </c>
      <c r="F392" s="12">
        <f>IFERROR(E392*Datos!$B$1, "Revisar")</f>
        <v>29108.32344</v>
      </c>
      <c r="G392" s="13">
        <f>IFERROR((VLOOKUP(B392, Roccia!$B$2:$D997, 3, FALSE) /(1-Datos!$E$1)), "Revisar")</f>
        <v>40</v>
      </c>
      <c r="H392" s="13">
        <f>IFERROR(G392*Datos!$B$3, "Revisar")</f>
        <v>60</v>
      </c>
      <c r="I392" s="13">
        <f t="shared" si="1"/>
        <v>9.6</v>
      </c>
    </row>
    <row r="393">
      <c r="A393" s="8" t="s">
        <v>777</v>
      </c>
      <c r="B393" s="9" t="s">
        <v>813</v>
      </c>
      <c r="C393" s="10" t="s">
        <v>814</v>
      </c>
      <c r="D393" s="11">
        <f>IFERROR((VLOOKUP(B393, Roccia!$B$2:$D997, 3, FALSE)*(1+Datos!$E$2)), "Revisar")</f>
        <v>154.992</v>
      </c>
      <c r="E393" s="11">
        <f>IFERROR(D393*Datos!$B$3, "Revisar")</f>
        <v>232.488</v>
      </c>
      <c r="F393" s="12">
        <f>IFERROR(E393*Datos!$B$1, "Revisar")</f>
        <v>134272.5377</v>
      </c>
      <c r="G393" s="13">
        <f>IFERROR((VLOOKUP(B393, Roccia!$B$2:$D997, 3, FALSE) /(1-Datos!$E$1)), "Revisar")</f>
        <v>184.5142857</v>
      </c>
      <c r="H393" s="13">
        <f>IFERROR(G393*Datos!$B$3, "Revisar")</f>
        <v>276.7714286</v>
      </c>
      <c r="I393" s="13">
        <f t="shared" si="1"/>
        <v>44.28342857</v>
      </c>
    </row>
    <row r="394">
      <c r="A394" s="8" t="s">
        <v>777</v>
      </c>
      <c r="B394" s="9" t="s">
        <v>815</v>
      </c>
      <c r="C394" s="10" t="s">
        <v>816</v>
      </c>
      <c r="D394" s="11">
        <f>IFERROR((VLOOKUP(B394, Roccia!$B$2:$D997, 3, FALSE)*(1+Datos!$E$2)), "Revisar")</f>
        <v>74.4</v>
      </c>
      <c r="E394" s="11">
        <f>IFERROR(D394*Datos!$B$3, "Revisar")</f>
        <v>111.6</v>
      </c>
      <c r="F394" s="12">
        <f>IFERROR(E394*Datos!$B$1, "Revisar")</f>
        <v>64454.14476</v>
      </c>
      <c r="G394" s="13">
        <f>IFERROR((VLOOKUP(B394, Roccia!$B$2:$D997, 3, FALSE) /(1-Datos!$E$1)), "Revisar")</f>
        <v>88.57142857</v>
      </c>
      <c r="H394" s="13">
        <f>IFERROR(G394*Datos!$B$3, "Revisar")</f>
        <v>132.8571429</v>
      </c>
      <c r="I394" s="13">
        <f t="shared" si="1"/>
        <v>21.25714286</v>
      </c>
    </row>
    <row r="395">
      <c r="A395" s="8" t="s">
        <v>777</v>
      </c>
      <c r="B395" s="9" t="s">
        <v>817</v>
      </c>
      <c r="C395" s="10" t="s">
        <v>818</v>
      </c>
      <c r="D395" s="11">
        <f>IFERROR((VLOOKUP(B395, Roccia!$B$2:$D997, 3, FALSE)*(1+Datos!$E$2)), "Revisar")</f>
        <v>186.216</v>
      </c>
      <c r="E395" s="11">
        <f>IFERROR(D395*Datos!$B$3, "Revisar")</f>
        <v>279.324</v>
      </c>
      <c r="F395" s="12">
        <f>IFERROR(E395*Datos!$B$1, "Revisar")</f>
        <v>161322.4868</v>
      </c>
      <c r="G395" s="13">
        <f>IFERROR((VLOOKUP(B395, Roccia!$B$2:$D997, 3, FALSE) /(1-Datos!$E$1)), "Revisar")</f>
        <v>221.6857143</v>
      </c>
      <c r="H395" s="13">
        <f>IFERROR(G395*Datos!$B$3, "Revisar")</f>
        <v>332.5285714</v>
      </c>
      <c r="I395" s="13">
        <f t="shared" si="1"/>
        <v>53.20457143</v>
      </c>
    </row>
    <row r="396">
      <c r="A396" s="8" t="s">
        <v>777</v>
      </c>
      <c r="B396" s="9" t="s">
        <v>819</v>
      </c>
      <c r="C396" s="10" t="s">
        <v>820</v>
      </c>
      <c r="D396" s="11">
        <f>IFERROR((VLOOKUP(B396, Roccia!$B$2:$D997, 3, FALSE)*(1+Datos!$E$2)), "Revisar")</f>
        <v>332.004</v>
      </c>
      <c r="E396" s="11">
        <f>IFERROR(D396*Datos!$B$3, "Revisar")</f>
        <v>498.006</v>
      </c>
      <c r="F396" s="12">
        <f>IFERROR(E396*Datos!$B$1, "Revisar")</f>
        <v>287621.4231</v>
      </c>
      <c r="G396" s="13">
        <f>IFERROR((VLOOKUP(B396, Roccia!$B$2:$D997, 3, FALSE) /(1-Datos!$E$1)), "Revisar")</f>
        <v>395.2428571</v>
      </c>
      <c r="H396" s="13">
        <f>IFERROR(G396*Datos!$B$3, "Revisar")</f>
        <v>592.8642857</v>
      </c>
      <c r="I396" s="13">
        <f t="shared" si="1"/>
        <v>94.85828571</v>
      </c>
    </row>
    <row r="397">
      <c r="A397" s="8" t="s">
        <v>777</v>
      </c>
      <c r="B397" s="9" t="s">
        <v>821</v>
      </c>
      <c r="C397" s="10" t="s">
        <v>822</v>
      </c>
      <c r="D397" s="11">
        <f>IFERROR((VLOOKUP(B397, Roccia!$B$2:$D997, 3, FALSE)*(1+Datos!$E$2)), "Revisar")</f>
        <v>28.332</v>
      </c>
      <c r="E397" s="11">
        <f>IFERROR(D397*Datos!$B$3, "Revisar")</f>
        <v>42.498</v>
      </c>
      <c r="F397" s="12">
        <f>IFERROR(E397*Datos!$B$1, "Revisar")</f>
        <v>24544.55416</v>
      </c>
      <c r="G397" s="13">
        <f>IFERROR((VLOOKUP(B397, Roccia!$B$2:$D997, 3, FALSE) /(1-Datos!$E$1)), "Revisar")</f>
        <v>33.72857143</v>
      </c>
      <c r="H397" s="13">
        <f>IFERROR(G397*Datos!$B$3, "Revisar")</f>
        <v>50.59285714</v>
      </c>
      <c r="I397" s="13">
        <f t="shared" si="1"/>
        <v>8.094857143</v>
      </c>
    </row>
    <row r="398">
      <c r="A398" s="8"/>
      <c r="B398" s="9"/>
      <c r="C398" s="10"/>
      <c r="D398" s="11" t="str">
        <f>IFERROR((VLOOKUP(B398, Roccia!$B$2:$D997, 3, FALSE)*(1+Datos!$E$2)), "Revisar")</f>
        <v>Revisar</v>
      </c>
      <c r="E398" s="11" t="str">
        <f>IFERROR(D398*Datos!$B$3, "Revisar")</f>
        <v>Revisar</v>
      </c>
      <c r="F398" s="12" t="str">
        <f>IFERROR(E398*Datos!$B$1, "Revisar")</f>
        <v>Revisar</v>
      </c>
      <c r="G398" s="13" t="str">
        <f>IFERROR((VLOOKUP(B398, Roccia!$B$2:$D997, 3, FALSE) /(1-Datos!$E$1)), "Revisar")</f>
        <v>Revisar</v>
      </c>
      <c r="H398" s="13" t="str">
        <f>IFERROR(G398*Datos!$B$3, "Revisar")</f>
        <v>Revisar</v>
      </c>
      <c r="I398" s="13" t="str">
        <f t="shared" si="1"/>
        <v>Revisar</v>
      </c>
    </row>
    <row r="399">
      <c r="A399" s="8"/>
      <c r="B399" s="9"/>
      <c r="C399" s="10"/>
      <c r="D399" s="11" t="str">
        <f>IFERROR((VLOOKUP(B399, Roccia!$B$2:$D997, 3, FALSE)*(1+Datos!$E$2)), "Revisar")</f>
        <v>Revisar</v>
      </c>
      <c r="E399" s="11" t="str">
        <f>IFERROR(D399*Datos!$B$3, "Revisar")</f>
        <v>Revisar</v>
      </c>
      <c r="F399" s="12" t="str">
        <f>IFERROR(E399*Datos!$B$1, "Revisar")</f>
        <v>Revisar</v>
      </c>
      <c r="G399" s="13" t="str">
        <f>IFERROR((VLOOKUP(B399, Roccia!$B$2:$D997, 3, FALSE) /(1-Datos!$E$1)), "Revisar")</f>
        <v>Revisar</v>
      </c>
      <c r="H399" s="13" t="str">
        <f>IFERROR(G399*Datos!$B$3, "Revisar")</f>
        <v>Revisar</v>
      </c>
      <c r="I399" s="13" t="str">
        <f t="shared" si="1"/>
        <v>Revisar</v>
      </c>
    </row>
    <row r="400">
      <c r="A400" s="8"/>
      <c r="B400" s="9"/>
      <c r="C400" s="10"/>
      <c r="D400" s="11" t="str">
        <f>IFERROR((VLOOKUP(B400, Roccia!$B$2:$D997, 3, FALSE)*(1+Datos!$E$2)), "Revisar")</f>
        <v>Revisar</v>
      </c>
      <c r="E400" s="11" t="str">
        <f>IFERROR(D400*Datos!$B$3, "Revisar")</f>
        <v>Revisar</v>
      </c>
      <c r="F400" s="12" t="str">
        <f>IFERROR(E400*Datos!$B$1, "Revisar")</f>
        <v>Revisar</v>
      </c>
      <c r="G400" s="13" t="str">
        <f>IFERROR((VLOOKUP(B400, Roccia!$B$2:$D997, 3, FALSE) /(1-Datos!$E$1)), "Revisar")</f>
        <v>Revisar</v>
      </c>
      <c r="H400" s="13" t="str">
        <f>IFERROR(G400*Datos!$B$3, "Revisar")</f>
        <v>Revisar</v>
      </c>
      <c r="I400" s="13" t="str">
        <f t="shared" si="1"/>
        <v>Revisar</v>
      </c>
    </row>
    <row r="401">
      <c r="A401" s="8"/>
      <c r="B401" s="9"/>
      <c r="C401" s="10"/>
      <c r="D401" s="11" t="str">
        <f>IFERROR((VLOOKUP(B401, Roccia!$B$2:$D997, 3, FALSE)*(1+Datos!$E$2)), "Revisar")</f>
        <v>Revisar</v>
      </c>
      <c r="E401" s="11" t="str">
        <f>IFERROR(D401*Datos!$B$3, "Revisar")</f>
        <v>Revisar</v>
      </c>
      <c r="F401" s="12" t="str">
        <f>IFERROR(E401*Datos!$B$1, "Revisar")</f>
        <v>Revisar</v>
      </c>
      <c r="G401" s="13" t="str">
        <f>IFERROR((VLOOKUP(B401, Roccia!$B$2:$D997, 3, FALSE) /(1-Datos!$E$1)), "Revisar")</f>
        <v>Revisar</v>
      </c>
      <c r="H401" s="13" t="str">
        <f>IFERROR(G401*Datos!$B$3, "Revisar")</f>
        <v>Revisar</v>
      </c>
      <c r="I401" s="13" t="str">
        <f t="shared" si="1"/>
        <v>Revisar</v>
      </c>
    </row>
    <row r="402">
      <c r="A402" s="8"/>
      <c r="B402" s="9"/>
      <c r="C402" s="10"/>
      <c r="D402" s="11" t="str">
        <f>IFERROR((VLOOKUP(B402, Roccia!$B$2:$D997, 3, FALSE)*(1+Datos!$E$2)), "Revisar")</f>
        <v>Revisar</v>
      </c>
      <c r="E402" s="11" t="str">
        <f>IFERROR(D402*Datos!$B$3, "Revisar")</f>
        <v>Revisar</v>
      </c>
      <c r="F402" s="12" t="str">
        <f>IFERROR(E402*Datos!$B$1, "Revisar")</f>
        <v>Revisar</v>
      </c>
      <c r="G402" s="13" t="str">
        <f>IFERROR((VLOOKUP(B402, Roccia!$B$2:$D997, 3, FALSE) /(1-Datos!$E$1)), "Revisar")</f>
        <v>Revisar</v>
      </c>
      <c r="H402" s="13" t="str">
        <f>IFERROR(G402*Datos!$B$3, "Revisar")</f>
        <v>Revisar</v>
      </c>
      <c r="I402" s="13" t="str">
        <f t="shared" si="1"/>
        <v>Revisar</v>
      </c>
    </row>
    <row r="403">
      <c r="A403" s="8"/>
      <c r="B403" s="9"/>
      <c r="C403" s="10"/>
      <c r="D403" s="11" t="str">
        <f>IFERROR((VLOOKUP(B403, Roccia!$B$2:$D997, 3, FALSE)*(1+Datos!$E$2)), "Revisar")</f>
        <v>Revisar</v>
      </c>
      <c r="E403" s="11" t="str">
        <f>IFERROR(D403*Datos!$B$3, "Revisar")</f>
        <v>Revisar</v>
      </c>
      <c r="F403" s="12" t="str">
        <f>IFERROR(E403*Datos!$B$1, "Revisar")</f>
        <v>Revisar</v>
      </c>
      <c r="G403" s="13" t="str">
        <f>IFERROR((VLOOKUP(B403, Roccia!$B$2:$D997, 3, FALSE) /(1-Datos!$E$1)), "Revisar")</f>
        <v>Revisar</v>
      </c>
      <c r="H403" s="13" t="str">
        <f>IFERROR(G403*Datos!$B$3, "Revisar")</f>
        <v>Revisar</v>
      </c>
      <c r="I403" s="13" t="str">
        <f t="shared" si="1"/>
        <v>Revisar</v>
      </c>
    </row>
    <row r="404">
      <c r="A404" s="8"/>
      <c r="B404" s="9"/>
      <c r="C404" s="10"/>
      <c r="D404" s="11" t="str">
        <f>IFERROR((VLOOKUP(B404, Roccia!$B$2:$D997, 3, FALSE)*(1+Datos!$E$2)), "Revisar")</f>
        <v>Revisar</v>
      </c>
      <c r="E404" s="11" t="str">
        <f>IFERROR(D404*Datos!$B$3, "Revisar")</f>
        <v>Revisar</v>
      </c>
      <c r="F404" s="12" t="str">
        <f>IFERROR(E404*Datos!$B$1, "Revisar")</f>
        <v>Revisar</v>
      </c>
      <c r="G404" s="13" t="str">
        <f>IFERROR((VLOOKUP(B404, Roccia!$B$2:$D997, 3, FALSE) /(1-Datos!$E$1)), "Revisar")</f>
        <v>Revisar</v>
      </c>
      <c r="H404" s="13" t="str">
        <f>IFERROR(G404*Datos!$B$3, "Revisar")</f>
        <v>Revisar</v>
      </c>
      <c r="I404" s="13" t="str">
        <f t="shared" si="1"/>
        <v>Revisar</v>
      </c>
    </row>
    <row r="405">
      <c r="A405" s="8"/>
      <c r="B405" s="9"/>
      <c r="C405" s="10"/>
      <c r="D405" s="11" t="str">
        <f>IFERROR((VLOOKUP(B405, Roccia!$B$2:$D997, 3, FALSE)*(1+Datos!$E$2)), "Revisar")</f>
        <v>Revisar</v>
      </c>
      <c r="E405" s="11" t="str">
        <f>IFERROR(D405*Datos!$B$3, "Revisar")</f>
        <v>Revisar</v>
      </c>
      <c r="F405" s="12" t="str">
        <f>IFERROR(E405*Datos!$B$1, "Revisar")</f>
        <v>Revisar</v>
      </c>
      <c r="G405" s="13" t="str">
        <f>IFERROR((VLOOKUP(B405, Roccia!$B$2:$D997, 3, FALSE) /(1-Datos!$E$1)), "Revisar")</f>
        <v>Revisar</v>
      </c>
      <c r="H405" s="13" t="str">
        <f>IFERROR(G405*Datos!$B$3, "Revisar")</f>
        <v>Revisar</v>
      </c>
      <c r="I405" s="13" t="str">
        <f t="shared" si="1"/>
        <v>Revisar</v>
      </c>
    </row>
    <row r="406">
      <c r="A406" s="8"/>
      <c r="B406" s="9"/>
      <c r="C406" s="10"/>
      <c r="D406" s="11" t="str">
        <f>IFERROR((VLOOKUP(B406, Roccia!$B$2:$D997, 3, FALSE)*(1+Datos!$E$2)), "Revisar")</f>
        <v>Revisar</v>
      </c>
      <c r="E406" s="11" t="str">
        <f>IFERROR(D406*Datos!$B$3, "Revisar")</f>
        <v>Revisar</v>
      </c>
      <c r="F406" s="12" t="str">
        <f>IFERROR(E406*Datos!$B$1, "Revisar")</f>
        <v>Revisar</v>
      </c>
      <c r="G406" s="13" t="str">
        <f>IFERROR((VLOOKUP(B406, Roccia!$B$2:$D997, 3, FALSE) /(1-Datos!$E$1)), "Revisar")</f>
        <v>Revisar</v>
      </c>
      <c r="H406" s="13" t="str">
        <f>IFERROR(G406*Datos!$B$3, "Revisar")</f>
        <v>Revisar</v>
      </c>
      <c r="I406" s="13" t="str">
        <f t="shared" si="1"/>
        <v>Revisar</v>
      </c>
    </row>
    <row r="407">
      <c r="A407" s="8"/>
      <c r="B407" s="9"/>
      <c r="C407" s="10"/>
      <c r="D407" s="11" t="str">
        <f>IFERROR((VLOOKUP(B407, Roccia!$B$2:$D997, 3, FALSE)*(1+Datos!$E$2)), "Revisar")</f>
        <v>Revisar</v>
      </c>
      <c r="E407" s="11" t="str">
        <f>IFERROR(D407*Datos!$B$3, "Revisar")</f>
        <v>Revisar</v>
      </c>
      <c r="F407" s="12" t="str">
        <f>IFERROR(E407*Datos!$B$1, "Revisar")</f>
        <v>Revisar</v>
      </c>
      <c r="G407" s="13" t="str">
        <f>IFERROR((VLOOKUP(B407, Roccia!$B$2:$D997, 3, FALSE) /(1-Datos!$E$1)), "Revisar")</f>
        <v>Revisar</v>
      </c>
      <c r="H407" s="13" t="str">
        <f>IFERROR(G407*Datos!$B$3, "Revisar")</f>
        <v>Revisar</v>
      </c>
      <c r="I407" s="13" t="str">
        <f t="shared" si="1"/>
        <v>Revisar</v>
      </c>
    </row>
    <row r="408">
      <c r="A408" s="8"/>
      <c r="B408" s="9"/>
      <c r="C408" s="10"/>
      <c r="D408" s="11" t="str">
        <f>IFERROR((VLOOKUP(B408, Roccia!$B$2:$D997, 3, FALSE)*(1+Datos!$E$2)), "Revisar")</f>
        <v>Revisar</v>
      </c>
      <c r="E408" s="11" t="str">
        <f>IFERROR(D408*Datos!$B$3, "Revisar")</f>
        <v>Revisar</v>
      </c>
      <c r="F408" s="12" t="str">
        <f>IFERROR(E408*Datos!$B$1, "Revisar")</f>
        <v>Revisar</v>
      </c>
      <c r="G408" s="13" t="str">
        <f>IFERROR((VLOOKUP(B408, Roccia!$B$2:$D997, 3, FALSE) /(1-Datos!$E$1)), "Revisar")</f>
        <v>Revisar</v>
      </c>
      <c r="H408" s="13" t="str">
        <f>IFERROR(G408*Datos!$B$3, "Revisar")</f>
        <v>Revisar</v>
      </c>
      <c r="I408" s="13" t="str">
        <f t="shared" si="1"/>
        <v>Revisar</v>
      </c>
    </row>
    <row r="409">
      <c r="A409" s="8"/>
      <c r="B409" s="9"/>
      <c r="C409" s="10"/>
      <c r="D409" s="11" t="str">
        <f>IFERROR((VLOOKUP(B409, Roccia!$B$2:$D997, 3, FALSE)*(1+Datos!$E$2)), "Revisar")</f>
        <v>Revisar</v>
      </c>
      <c r="E409" s="11" t="str">
        <f>IFERROR(D409*Datos!$B$3, "Revisar")</f>
        <v>Revisar</v>
      </c>
      <c r="F409" s="12" t="str">
        <f>IFERROR(E409*Datos!$B$1, "Revisar")</f>
        <v>Revisar</v>
      </c>
      <c r="G409" s="13" t="str">
        <f>IFERROR((VLOOKUP(B409, Roccia!$B$2:$D997, 3, FALSE) /(1-Datos!$E$1)), "Revisar")</f>
        <v>Revisar</v>
      </c>
      <c r="H409" s="13" t="str">
        <f>IFERROR(G409*Datos!$B$3, "Revisar")</f>
        <v>Revisar</v>
      </c>
      <c r="I409" s="13" t="str">
        <f t="shared" si="1"/>
        <v>Revisar</v>
      </c>
    </row>
    <row r="410">
      <c r="A410" s="8"/>
      <c r="B410" s="9"/>
      <c r="C410" s="10"/>
      <c r="D410" s="11" t="str">
        <f>IFERROR((VLOOKUP(B410, Roccia!$B$2:$D997, 3, FALSE)*(1+Datos!$E$2)), "Revisar")</f>
        <v>Revisar</v>
      </c>
      <c r="E410" s="11" t="str">
        <f>IFERROR(D410*Datos!$B$3, "Revisar")</f>
        <v>Revisar</v>
      </c>
      <c r="F410" s="12" t="str">
        <f>IFERROR(E410*Datos!$B$1, "Revisar")</f>
        <v>Revisar</v>
      </c>
      <c r="G410" s="13" t="str">
        <f>IFERROR((VLOOKUP(B410, Roccia!$B$2:$D997, 3, FALSE) /(1-Datos!$E$1)), "Revisar")</f>
        <v>Revisar</v>
      </c>
      <c r="H410" s="13" t="str">
        <f>IFERROR(G410*Datos!$B$3, "Revisar")</f>
        <v>Revisar</v>
      </c>
      <c r="I410" s="13" t="str">
        <f t="shared" si="1"/>
        <v>Revisar</v>
      </c>
    </row>
    <row r="411">
      <c r="A411" s="8"/>
      <c r="B411" s="9"/>
      <c r="C411" s="10"/>
      <c r="D411" s="11" t="str">
        <f>IFERROR((VLOOKUP(B411, Roccia!$B$2:$D997, 3, FALSE)*(1+Datos!$E$2)), "Revisar")</f>
        <v>Revisar</v>
      </c>
      <c r="E411" s="11" t="str">
        <f>IFERROR(D411*Datos!$B$3, "Revisar")</f>
        <v>Revisar</v>
      </c>
      <c r="F411" s="12" t="str">
        <f>IFERROR(E411*Datos!$B$1, "Revisar")</f>
        <v>Revisar</v>
      </c>
      <c r="G411" s="13" t="str">
        <f>IFERROR((VLOOKUP(B411, Roccia!$B$2:$D997, 3, FALSE) /(1-Datos!$E$1)), "Revisar")</f>
        <v>Revisar</v>
      </c>
      <c r="H411" s="13" t="str">
        <f>IFERROR(G411*Datos!$B$3, "Revisar")</f>
        <v>Revisar</v>
      </c>
      <c r="I411" s="13" t="str">
        <f t="shared" si="1"/>
        <v>Revisar</v>
      </c>
    </row>
    <row r="412">
      <c r="A412" s="8"/>
      <c r="B412" s="9"/>
      <c r="C412" s="10"/>
      <c r="D412" s="11" t="str">
        <f>IFERROR((VLOOKUP(B412, Roccia!$B$2:$D997, 3, FALSE)*(1+Datos!$E$2)), "Revisar")</f>
        <v>Revisar</v>
      </c>
      <c r="E412" s="11" t="str">
        <f>IFERROR(D412*Datos!$B$3, "Revisar")</f>
        <v>Revisar</v>
      </c>
      <c r="F412" s="12" t="str">
        <f>IFERROR(E412*Datos!$B$1, "Revisar")</f>
        <v>Revisar</v>
      </c>
      <c r="G412" s="13" t="str">
        <f>IFERROR((VLOOKUP(B412, Roccia!$B$2:$D997, 3, FALSE) /(1-Datos!$E$1)), "Revisar")</f>
        <v>Revisar</v>
      </c>
      <c r="H412" s="13" t="str">
        <f>IFERROR(G412*Datos!$B$3, "Revisar")</f>
        <v>Revisar</v>
      </c>
      <c r="I412" s="13" t="str">
        <f t="shared" si="1"/>
        <v>Revisar</v>
      </c>
    </row>
    <row r="413">
      <c r="A413" s="8"/>
      <c r="B413" s="9"/>
      <c r="C413" s="10"/>
      <c r="D413" s="11" t="str">
        <f>IFERROR((VLOOKUP(B413, Roccia!$B$2:$D997, 3, FALSE)*(1+Datos!$E$2)), "Revisar")</f>
        <v>Revisar</v>
      </c>
      <c r="E413" s="11" t="str">
        <f>IFERROR(D413*Datos!$B$3, "Revisar")</f>
        <v>Revisar</v>
      </c>
      <c r="F413" s="12" t="str">
        <f>IFERROR(E413*Datos!$B$1, "Revisar")</f>
        <v>Revisar</v>
      </c>
      <c r="G413" s="13" t="str">
        <f>IFERROR((VLOOKUP(B413, Roccia!$B$2:$D997, 3, FALSE) /(1-Datos!$E$1)), "Revisar")</f>
        <v>Revisar</v>
      </c>
      <c r="H413" s="13" t="str">
        <f>IFERROR(G413*Datos!$B$3, "Revisar")</f>
        <v>Revisar</v>
      </c>
      <c r="I413" s="13" t="str">
        <f t="shared" si="1"/>
        <v>Revisar</v>
      </c>
    </row>
    <row r="414">
      <c r="A414" s="8"/>
      <c r="B414" s="9"/>
      <c r="C414" s="10"/>
      <c r="D414" s="11" t="str">
        <f>IFERROR((VLOOKUP(B414, Roccia!$B$2:$D997, 3, FALSE)*(1+Datos!$E$2)), "Revisar")</f>
        <v>Revisar</v>
      </c>
      <c r="E414" s="11" t="str">
        <f>IFERROR(D414*Datos!$B$3, "Revisar")</f>
        <v>Revisar</v>
      </c>
      <c r="F414" s="12" t="str">
        <f>IFERROR(E414*Datos!$B$1, "Revisar")</f>
        <v>Revisar</v>
      </c>
      <c r="G414" s="13" t="str">
        <f>IFERROR((VLOOKUP(B414, Roccia!$B$2:$D997, 3, FALSE) /(1-Datos!$E$1)), "Revisar")</f>
        <v>Revisar</v>
      </c>
      <c r="H414" s="13" t="str">
        <f>IFERROR(G414*Datos!$B$3, "Revisar")</f>
        <v>Revisar</v>
      </c>
      <c r="I414" s="13" t="str">
        <f t="shared" si="1"/>
        <v>Revisar</v>
      </c>
    </row>
    <row r="415">
      <c r="A415" s="8"/>
      <c r="B415" s="9"/>
      <c r="C415" s="10"/>
      <c r="D415" s="11" t="str">
        <f>IFERROR((VLOOKUP(B415, Roccia!$B$2:$D997, 3, FALSE)*(1+Datos!$E$2)), "Revisar")</f>
        <v>Revisar</v>
      </c>
      <c r="E415" s="11" t="str">
        <f>IFERROR(D415*Datos!$B$3, "Revisar")</f>
        <v>Revisar</v>
      </c>
      <c r="F415" s="12" t="str">
        <f>IFERROR(E415*Datos!$B$1, "Revisar")</f>
        <v>Revisar</v>
      </c>
      <c r="G415" s="13" t="str">
        <f>IFERROR((VLOOKUP(B415, Roccia!$B$2:$D997, 3, FALSE) /(1-Datos!$E$1)), "Revisar")</f>
        <v>Revisar</v>
      </c>
      <c r="H415" s="13" t="str">
        <f>IFERROR(G415*Datos!$B$3, "Revisar")</f>
        <v>Revisar</v>
      </c>
      <c r="I415" s="13" t="str">
        <f t="shared" si="1"/>
        <v>Revisar</v>
      </c>
    </row>
    <row r="416">
      <c r="A416" s="8"/>
      <c r="B416" s="9"/>
      <c r="C416" s="10"/>
      <c r="D416" s="11" t="str">
        <f>IFERROR((VLOOKUP(B416, Roccia!$B$2:$D997, 3, FALSE)*(1+Datos!$E$2)), "Revisar")</f>
        <v>Revisar</v>
      </c>
      <c r="E416" s="11" t="str">
        <f>IFERROR(D416*Datos!$B$3, "Revisar")</f>
        <v>Revisar</v>
      </c>
      <c r="F416" s="12" t="str">
        <f>IFERROR(E416*Datos!$B$1, "Revisar")</f>
        <v>Revisar</v>
      </c>
      <c r="G416" s="13" t="str">
        <f>IFERROR((VLOOKUP(B416, Roccia!$B$2:$D997, 3, FALSE) /(1-Datos!$E$1)), "Revisar")</f>
        <v>Revisar</v>
      </c>
      <c r="H416" s="13" t="str">
        <f>IFERROR(G416*Datos!$B$3, "Revisar")</f>
        <v>Revisar</v>
      </c>
      <c r="I416" s="13" t="str">
        <f t="shared" si="1"/>
        <v>Revisar</v>
      </c>
    </row>
    <row r="417">
      <c r="A417" s="8"/>
      <c r="B417" s="9"/>
      <c r="C417" s="10"/>
      <c r="D417" s="11" t="str">
        <f>IFERROR((VLOOKUP(B417, Roccia!$B$2:$D997, 3, FALSE)*(1+Datos!$E$2)), "Revisar")</f>
        <v>Revisar</v>
      </c>
      <c r="E417" s="11" t="str">
        <f>IFERROR(D417*Datos!$B$3, "Revisar")</f>
        <v>Revisar</v>
      </c>
      <c r="F417" s="12" t="str">
        <f>IFERROR(E417*Datos!$B$1, "Revisar")</f>
        <v>Revisar</v>
      </c>
      <c r="G417" s="13" t="str">
        <f>IFERROR((VLOOKUP(B417, Roccia!$B$2:$D997, 3, FALSE) /(1-Datos!$E$1)), "Revisar")</f>
        <v>Revisar</v>
      </c>
      <c r="H417" s="13" t="str">
        <f>IFERROR(G417*Datos!$B$3, "Revisar")</f>
        <v>Revisar</v>
      </c>
      <c r="I417" s="13" t="str">
        <f t="shared" si="1"/>
        <v>Revisar</v>
      </c>
    </row>
    <row r="418">
      <c r="A418" s="8"/>
      <c r="B418" s="9"/>
      <c r="C418" s="10"/>
      <c r="D418" s="11" t="str">
        <f>IFERROR((VLOOKUP(B418, Roccia!$B$2:$D997, 3, FALSE)*(1+Datos!$E$2)), "Revisar")</f>
        <v>Revisar</v>
      </c>
      <c r="E418" s="11" t="str">
        <f>IFERROR(D418*Datos!$B$3, "Revisar")</f>
        <v>Revisar</v>
      </c>
      <c r="F418" s="12" t="str">
        <f>IFERROR(E418*Datos!$B$1, "Revisar")</f>
        <v>Revisar</v>
      </c>
      <c r="G418" s="13" t="str">
        <f>IFERROR((VLOOKUP(B418, Roccia!$B$2:$D997, 3, FALSE) /(1-Datos!$E$1)), "Revisar")</f>
        <v>Revisar</v>
      </c>
      <c r="H418" s="13" t="str">
        <f>IFERROR(G418*Datos!$B$3, "Revisar")</f>
        <v>Revisar</v>
      </c>
      <c r="I418" s="13" t="str">
        <f t="shared" si="1"/>
        <v>Revisar</v>
      </c>
    </row>
    <row r="419">
      <c r="A419" s="8"/>
      <c r="B419" s="9"/>
      <c r="C419" s="10"/>
      <c r="D419" s="11" t="str">
        <f>IFERROR((VLOOKUP(B419, Roccia!$B$2:$D997, 3, FALSE)*(1+Datos!$E$2)), "Revisar")</f>
        <v>Revisar</v>
      </c>
      <c r="E419" s="11" t="str">
        <f>IFERROR(D419*Datos!$B$3, "Revisar")</f>
        <v>Revisar</v>
      </c>
      <c r="F419" s="12" t="str">
        <f>IFERROR(E419*Datos!$B$1, "Revisar")</f>
        <v>Revisar</v>
      </c>
      <c r="G419" s="13" t="str">
        <f>IFERROR((VLOOKUP(B419, Roccia!$B$2:$D997, 3, FALSE) /(1-Datos!$E$1)), "Revisar")</f>
        <v>Revisar</v>
      </c>
      <c r="H419" s="13" t="str">
        <f>IFERROR(G419*Datos!$B$3, "Revisar")</f>
        <v>Revisar</v>
      </c>
      <c r="I419" s="13" t="str">
        <f t="shared" si="1"/>
        <v>Revisar</v>
      </c>
    </row>
    <row r="420">
      <c r="A420" s="8"/>
      <c r="B420" s="9"/>
      <c r="C420" s="10"/>
      <c r="D420" s="11" t="str">
        <f>IFERROR((VLOOKUP(B420, Roccia!$B$2:$D997, 3, FALSE)*(1+Datos!$E$2)), "Revisar")</f>
        <v>Revisar</v>
      </c>
      <c r="E420" s="11" t="str">
        <f>IFERROR(D420*Datos!$B$3, "Revisar")</f>
        <v>Revisar</v>
      </c>
      <c r="F420" s="12" t="str">
        <f>IFERROR(E420*Datos!$B$1, "Revisar")</f>
        <v>Revisar</v>
      </c>
      <c r="G420" s="13" t="str">
        <f>IFERROR((VLOOKUP(B420, Roccia!$B$2:$D997, 3, FALSE) /(1-Datos!$E$1)), "Revisar")</f>
        <v>Revisar</v>
      </c>
      <c r="H420" s="13" t="str">
        <f>IFERROR(G420*Datos!$B$3, "Revisar")</f>
        <v>Revisar</v>
      </c>
      <c r="I420" s="13" t="str">
        <f t="shared" si="1"/>
        <v>Revisar</v>
      </c>
    </row>
    <row r="421">
      <c r="A421" s="8"/>
      <c r="B421" s="9"/>
      <c r="C421" s="10"/>
      <c r="D421" s="11" t="str">
        <f>IFERROR((VLOOKUP(B421, Roccia!$B$2:$D997, 3, FALSE)*(1+Datos!$E$2)), "Revisar")</f>
        <v>Revisar</v>
      </c>
      <c r="E421" s="11" t="str">
        <f>IFERROR(D421*Datos!$B$3, "Revisar")</f>
        <v>Revisar</v>
      </c>
      <c r="F421" s="12" t="str">
        <f>IFERROR(E421*Datos!$B$1, "Revisar")</f>
        <v>Revisar</v>
      </c>
      <c r="G421" s="13" t="str">
        <f>IFERROR((VLOOKUP(B421, Roccia!$B$2:$D997, 3, FALSE) /(1-Datos!$E$1)), "Revisar")</f>
        <v>Revisar</v>
      </c>
      <c r="H421" s="13" t="str">
        <f>IFERROR(G421*Datos!$B$3, "Revisar")</f>
        <v>Revisar</v>
      </c>
      <c r="I421" s="13" t="str">
        <f t="shared" si="1"/>
        <v>Revisar</v>
      </c>
    </row>
    <row r="422">
      <c r="A422" s="8"/>
      <c r="B422" s="9"/>
      <c r="C422" s="10"/>
      <c r="D422" s="11" t="str">
        <f>IFERROR((VLOOKUP(B422, Roccia!$B$2:$D997, 3, FALSE)*(1+Datos!$E$2)), "Revisar")</f>
        <v>Revisar</v>
      </c>
      <c r="E422" s="11" t="str">
        <f>IFERROR(D422*Datos!$B$3, "Revisar")</f>
        <v>Revisar</v>
      </c>
      <c r="F422" s="12" t="str">
        <f>IFERROR(E422*Datos!$B$1, "Revisar")</f>
        <v>Revisar</v>
      </c>
      <c r="G422" s="13" t="str">
        <f>IFERROR((VLOOKUP(B422, Roccia!$B$2:$D997, 3, FALSE) /(1-Datos!$E$1)), "Revisar")</f>
        <v>Revisar</v>
      </c>
      <c r="H422" s="13" t="str">
        <f>IFERROR(G422*Datos!$B$3, "Revisar")</f>
        <v>Revisar</v>
      </c>
      <c r="I422" s="13" t="str">
        <f t="shared" si="1"/>
        <v>Revisar</v>
      </c>
    </row>
    <row r="423">
      <c r="A423" s="8"/>
      <c r="B423" s="9"/>
      <c r="C423" s="10"/>
      <c r="D423" s="11" t="str">
        <f>IFERROR((VLOOKUP(B423, Roccia!$B$2:$D997, 3, FALSE)*(1+Datos!$E$2)), "Revisar")</f>
        <v>Revisar</v>
      </c>
      <c r="E423" s="11" t="str">
        <f>IFERROR(D423*Datos!$B$3, "Revisar")</f>
        <v>Revisar</v>
      </c>
      <c r="F423" s="12" t="str">
        <f>IFERROR(E423*Datos!$B$1, "Revisar")</f>
        <v>Revisar</v>
      </c>
      <c r="G423" s="13" t="str">
        <f>IFERROR((VLOOKUP(B423, Roccia!$B$2:$D997, 3, FALSE) /(1-Datos!$E$1)), "Revisar")</f>
        <v>Revisar</v>
      </c>
      <c r="H423" s="13" t="str">
        <f>IFERROR(G423*Datos!$B$3, "Revisar")</f>
        <v>Revisar</v>
      </c>
      <c r="I423" s="13" t="str">
        <f t="shared" si="1"/>
        <v>Revisar</v>
      </c>
    </row>
    <row r="424">
      <c r="A424" s="8"/>
      <c r="B424" s="9"/>
      <c r="C424" s="10"/>
      <c r="D424" s="11" t="str">
        <f>IFERROR((VLOOKUP(B424, Roccia!$B$2:$D997, 3, FALSE)*(1+Datos!$E$2)), "Revisar")</f>
        <v>Revisar</v>
      </c>
      <c r="E424" s="11" t="str">
        <f>IFERROR(D424*Datos!$B$3, "Revisar")</f>
        <v>Revisar</v>
      </c>
      <c r="F424" s="12" t="str">
        <f>IFERROR(E424*Datos!$B$1, "Revisar")</f>
        <v>Revisar</v>
      </c>
      <c r="G424" s="13" t="str">
        <f>IFERROR((VLOOKUP(B424, Roccia!$B$2:$D997, 3, FALSE) /(1-Datos!$E$1)), "Revisar")</f>
        <v>Revisar</v>
      </c>
      <c r="H424" s="13" t="str">
        <f>IFERROR(G424*Datos!$B$3, "Revisar")</f>
        <v>Revisar</v>
      </c>
      <c r="I424" s="13" t="str">
        <f t="shared" si="1"/>
        <v>Revisar</v>
      </c>
    </row>
    <row r="425">
      <c r="A425" s="8"/>
      <c r="B425" s="9"/>
      <c r="C425" s="10"/>
      <c r="D425" s="11" t="str">
        <f>IFERROR((VLOOKUP(B425, Roccia!$B$2:$D997, 3, FALSE)*(1+Datos!$E$2)), "Revisar")</f>
        <v>Revisar</v>
      </c>
      <c r="E425" s="11" t="str">
        <f>IFERROR(D425*Datos!$B$3, "Revisar")</f>
        <v>Revisar</v>
      </c>
      <c r="F425" s="12" t="str">
        <f>IFERROR(E425*Datos!$B$1, "Revisar")</f>
        <v>Revisar</v>
      </c>
      <c r="G425" s="13" t="str">
        <f>IFERROR((VLOOKUP(B425, Roccia!$B$2:$D997, 3, FALSE) /(1-Datos!$E$1)), "Revisar")</f>
        <v>Revisar</v>
      </c>
      <c r="H425" s="13" t="str">
        <f>IFERROR(G425*Datos!$B$3, "Revisar")</f>
        <v>Revisar</v>
      </c>
      <c r="I425" s="13" t="str">
        <f t="shared" si="1"/>
        <v>Revisar</v>
      </c>
    </row>
    <row r="426">
      <c r="A426" s="8"/>
      <c r="B426" s="9"/>
      <c r="C426" s="10"/>
      <c r="D426" s="11" t="str">
        <f>IFERROR((VLOOKUP(B426, Roccia!$B$2:$D997, 3, FALSE)*(1+Datos!$E$2)), "Revisar")</f>
        <v>Revisar</v>
      </c>
      <c r="E426" s="11" t="str">
        <f>IFERROR(D426*Datos!$B$3, "Revisar")</f>
        <v>Revisar</v>
      </c>
      <c r="F426" s="12" t="str">
        <f>IFERROR(E426*Datos!$B$1, "Revisar")</f>
        <v>Revisar</v>
      </c>
      <c r="G426" s="13" t="str">
        <f>IFERROR((VLOOKUP(B426, Roccia!$B$2:$D997, 3, FALSE) /(1-Datos!$E$1)), "Revisar")</f>
        <v>Revisar</v>
      </c>
      <c r="H426" s="13" t="str">
        <f>IFERROR(G426*Datos!$B$3, "Revisar")</f>
        <v>Revisar</v>
      </c>
      <c r="I426" s="13" t="str">
        <f t="shared" si="1"/>
        <v>Revisar</v>
      </c>
    </row>
    <row r="427">
      <c r="A427" s="8"/>
      <c r="B427" s="9"/>
      <c r="C427" s="10"/>
      <c r="D427" s="11" t="str">
        <f>IFERROR((VLOOKUP(B427, Roccia!$B$2:$D997, 3, FALSE)*(1+Datos!$E$2)), "Revisar")</f>
        <v>Revisar</v>
      </c>
      <c r="E427" s="11" t="str">
        <f>IFERROR(D427*Datos!$B$3, "Revisar")</f>
        <v>Revisar</v>
      </c>
      <c r="F427" s="12" t="str">
        <f>IFERROR(E427*Datos!$B$1, "Revisar")</f>
        <v>Revisar</v>
      </c>
      <c r="G427" s="13" t="str">
        <f>IFERROR((VLOOKUP(B427, Roccia!$B$2:$D997, 3, FALSE) /(1-Datos!$E$1)), "Revisar")</f>
        <v>Revisar</v>
      </c>
      <c r="H427" s="13" t="str">
        <f>IFERROR(G427*Datos!$B$3, "Revisar")</f>
        <v>Revisar</v>
      </c>
      <c r="I427" s="13" t="str">
        <f t="shared" si="1"/>
        <v>Revisar</v>
      </c>
    </row>
    <row r="428">
      <c r="A428" s="8"/>
      <c r="B428" s="9"/>
      <c r="C428" s="10"/>
      <c r="D428" s="11" t="str">
        <f>IFERROR((VLOOKUP(B428, Roccia!$B$2:$D997, 3, FALSE)*(1+Datos!$E$2)), "Revisar")</f>
        <v>Revisar</v>
      </c>
      <c r="E428" s="11" t="str">
        <f>IFERROR(D428*Datos!$B$3, "Revisar")</f>
        <v>Revisar</v>
      </c>
      <c r="F428" s="12" t="str">
        <f>IFERROR(E428*Datos!$B$1, "Revisar")</f>
        <v>Revisar</v>
      </c>
      <c r="G428" s="13" t="str">
        <f>IFERROR((VLOOKUP(B428, Roccia!$B$2:$D997, 3, FALSE) /(1-Datos!$E$1)), "Revisar")</f>
        <v>Revisar</v>
      </c>
      <c r="H428" s="13" t="str">
        <f>IFERROR(G428*Datos!$B$3, "Revisar")</f>
        <v>Revisar</v>
      </c>
      <c r="I428" s="13" t="str">
        <f t="shared" si="1"/>
        <v>Revisar</v>
      </c>
    </row>
    <row r="429">
      <c r="A429" s="8"/>
      <c r="B429" s="9"/>
      <c r="C429" s="10"/>
      <c r="D429" s="11" t="str">
        <f>IFERROR((VLOOKUP(B429, Roccia!$B$2:$D997, 3, FALSE)*(1+Datos!$E$2)), "Revisar")</f>
        <v>Revisar</v>
      </c>
      <c r="E429" s="11" t="str">
        <f>IFERROR(D429*Datos!$B$3, "Revisar")</f>
        <v>Revisar</v>
      </c>
      <c r="F429" s="12" t="str">
        <f>IFERROR(E429*Datos!$B$1, "Revisar")</f>
        <v>Revisar</v>
      </c>
      <c r="G429" s="13" t="str">
        <f>IFERROR((VLOOKUP(B429, Roccia!$B$2:$D997, 3, FALSE) /(1-Datos!$E$1)), "Revisar")</f>
        <v>Revisar</v>
      </c>
      <c r="H429" s="13" t="str">
        <f>IFERROR(G429*Datos!$B$3, "Revisar")</f>
        <v>Revisar</v>
      </c>
      <c r="I429" s="13" t="str">
        <f t="shared" si="1"/>
        <v>Revisar</v>
      </c>
    </row>
    <row r="430">
      <c r="A430" s="8"/>
      <c r="B430" s="9"/>
      <c r="C430" s="10"/>
      <c r="D430" s="11" t="str">
        <f>IFERROR((VLOOKUP(B430, Roccia!$B$2:$D997, 3, FALSE)*(1+Datos!$E$2)), "Revisar")</f>
        <v>Revisar</v>
      </c>
      <c r="E430" s="11" t="str">
        <f>IFERROR(D430*Datos!$B$3, "Revisar")</f>
        <v>Revisar</v>
      </c>
      <c r="F430" s="12" t="str">
        <f>IFERROR(E430*Datos!$B$1, "Revisar")</f>
        <v>Revisar</v>
      </c>
      <c r="G430" s="13" t="str">
        <f>IFERROR((VLOOKUP(B430, Roccia!$B$2:$D997, 3, FALSE) /(1-Datos!$E$1)), "Revisar")</f>
        <v>Revisar</v>
      </c>
      <c r="H430" s="13" t="str">
        <f>IFERROR(G430*Datos!$B$3, "Revisar")</f>
        <v>Revisar</v>
      </c>
      <c r="I430" s="13" t="str">
        <f t="shared" si="1"/>
        <v>Revisar</v>
      </c>
    </row>
    <row r="431">
      <c r="A431" s="8"/>
      <c r="B431" s="9"/>
      <c r="C431" s="10"/>
      <c r="D431" s="11" t="str">
        <f>IFERROR((VLOOKUP(B431, Roccia!$B$2:$D997, 3, FALSE)*(1+Datos!$E$2)), "Revisar")</f>
        <v>Revisar</v>
      </c>
      <c r="E431" s="11" t="str">
        <f>IFERROR(D431*Datos!$B$3, "Revisar")</f>
        <v>Revisar</v>
      </c>
      <c r="F431" s="12" t="str">
        <f>IFERROR(E431*Datos!$B$1, "Revisar")</f>
        <v>Revisar</v>
      </c>
      <c r="G431" s="13" t="str">
        <f>IFERROR((VLOOKUP(B431, Roccia!$B$2:$D997, 3, FALSE) /(1-Datos!$E$1)), "Revisar")</f>
        <v>Revisar</v>
      </c>
      <c r="H431" s="13" t="str">
        <f>IFERROR(G431*Datos!$B$3, "Revisar")</f>
        <v>Revisar</v>
      </c>
      <c r="I431" s="13" t="str">
        <f t="shared" si="1"/>
        <v>Revisar</v>
      </c>
    </row>
    <row r="432">
      <c r="A432" s="8"/>
      <c r="B432" s="9"/>
      <c r="C432" s="10"/>
      <c r="D432" s="11" t="str">
        <f>IFERROR((VLOOKUP(B432, Roccia!$B$2:$D997, 3, FALSE)*(1+Datos!$E$2)), "Revisar")</f>
        <v>Revisar</v>
      </c>
      <c r="E432" s="11" t="str">
        <f>IFERROR(D432*Datos!$B$3, "Revisar")</f>
        <v>Revisar</v>
      </c>
      <c r="F432" s="12" t="str">
        <f>IFERROR(E432*Datos!$B$1, "Revisar")</f>
        <v>Revisar</v>
      </c>
      <c r="G432" s="13" t="str">
        <f>IFERROR((VLOOKUP(B432, Roccia!$B$2:$D997, 3, FALSE) /(1-Datos!$E$1)), "Revisar")</f>
        <v>Revisar</v>
      </c>
      <c r="H432" s="13" t="str">
        <f>IFERROR(G432*Datos!$B$3, "Revisar")</f>
        <v>Revisar</v>
      </c>
      <c r="I432" s="13" t="str">
        <f t="shared" si="1"/>
        <v>Revisar</v>
      </c>
    </row>
    <row r="433">
      <c r="A433" s="8"/>
      <c r="B433" s="9"/>
      <c r="C433" s="10"/>
      <c r="D433" s="11" t="str">
        <f>IFERROR((VLOOKUP(B433, Roccia!$B$2:$D997, 3, FALSE)*(1+Datos!$E$2)), "Revisar")</f>
        <v>Revisar</v>
      </c>
      <c r="E433" s="11" t="str">
        <f>IFERROR(D433*Datos!$B$3, "Revisar")</f>
        <v>Revisar</v>
      </c>
      <c r="F433" s="12" t="str">
        <f>IFERROR(E433*Datos!$B$1, "Revisar")</f>
        <v>Revisar</v>
      </c>
      <c r="G433" s="13" t="str">
        <f>IFERROR((VLOOKUP(B433, Roccia!$B$2:$D997, 3, FALSE) /(1-Datos!$E$1)), "Revisar")</f>
        <v>Revisar</v>
      </c>
      <c r="H433" s="13" t="str">
        <f>IFERROR(G433*Datos!$B$3, "Revisar")</f>
        <v>Revisar</v>
      </c>
      <c r="I433" s="13" t="str">
        <f t="shared" si="1"/>
        <v>Revisar</v>
      </c>
    </row>
    <row r="434">
      <c r="A434" s="8"/>
      <c r="B434" s="9"/>
      <c r="C434" s="10"/>
      <c r="D434" s="11" t="str">
        <f>IFERROR((VLOOKUP(B434, Roccia!$B$2:$D997, 3, FALSE)*(1+Datos!$E$2)), "Revisar")</f>
        <v>Revisar</v>
      </c>
      <c r="E434" s="11" t="str">
        <f>IFERROR(D434*Datos!$B$3, "Revisar")</f>
        <v>Revisar</v>
      </c>
      <c r="F434" s="12" t="str">
        <f>IFERROR(E434*Datos!$B$1, "Revisar")</f>
        <v>Revisar</v>
      </c>
      <c r="G434" s="13" t="str">
        <f>IFERROR((VLOOKUP(B434, Roccia!$B$2:$D997, 3, FALSE) /(1-Datos!$E$1)), "Revisar")</f>
        <v>Revisar</v>
      </c>
      <c r="H434" s="13" t="str">
        <f>IFERROR(G434*Datos!$B$3, "Revisar")</f>
        <v>Revisar</v>
      </c>
      <c r="I434" s="13" t="str">
        <f t="shared" si="1"/>
        <v>Revisar</v>
      </c>
    </row>
    <row r="435">
      <c r="A435" s="8"/>
      <c r="B435" s="9"/>
      <c r="C435" s="10"/>
      <c r="D435" s="11" t="str">
        <f>IFERROR((VLOOKUP(B435, Roccia!$B$2:$D997, 3, FALSE)*(1+Datos!$E$2)), "Revisar")</f>
        <v>Revisar</v>
      </c>
      <c r="E435" s="11" t="str">
        <f>IFERROR(D435*Datos!$B$3, "Revisar")</f>
        <v>Revisar</v>
      </c>
      <c r="F435" s="12" t="str">
        <f>IFERROR(E435*Datos!$B$1, "Revisar")</f>
        <v>Revisar</v>
      </c>
      <c r="G435" s="13" t="str">
        <f>IFERROR((VLOOKUP(B435, Roccia!$B$2:$D997, 3, FALSE) /(1-Datos!$E$1)), "Revisar")</f>
        <v>Revisar</v>
      </c>
      <c r="H435" s="13" t="str">
        <f>IFERROR(G435*Datos!$B$3, "Revisar")</f>
        <v>Revisar</v>
      </c>
      <c r="I435" s="13" t="str">
        <f t="shared" si="1"/>
        <v>Revisar</v>
      </c>
    </row>
    <row r="436">
      <c r="A436" s="8"/>
      <c r="B436" s="9"/>
      <c r="C436" s="10"/>
      <c r="D436" s="11" t="str">
        <f>IFERROR((VLOOKUP(B436, Roccia!$B$2:$D997, 3, FALSE)*(1+Datos!$E$2)), "Revisar")</f>
        <v>Revisar</v>
      </c>
      <c r="E436" s="11" t="str">
        <f>IFERROR(D436*Datos!$B$3, "Revisar")</f>
        <v>Revisar</v>
      </c>
      <c r="F436" s="12" t="str">
        <f>IFERROR(E436*Datos!$B$1, "Revisar")</f>
        <v>Revisar</v>
      </c>
      <c r="G436" s="13" t="str">
        <f>IFERROR((VLOOKUP(B436, Roccia!$B$2:$D997, 3, FALSE) /(1-Datos!$E$1)), "Revisar")</f>
        <v>Revisar</v>
      </c>
      <c r="H436" s="13" t="str">
        <f>IFERROR(G436*Datos!$B$3, "Revisar")</f>
        <v>Revisar</v>
      </c>
      <c r="I436" s="13" t="str">
        <f t="shared" si="1"/>
        <v>Revisar</v>
      </c>
    </row>
    <row r="437">
      <c r="A437" s="8"/>
      <c r="B437" s="9"/>
      <c r="C437" s="10"/>
      <c r="D437" s="11" t="str">
        <f>IFERROR((VLOOKUP(B437, Roccia!$B$2:$D997, 3, FALSE)*(1+Datos!$E$2)), "Revisar")</f>
        <v>Revisar</v>
      </c>
      <c r="E437" s="11" t="str">
        <f>IFERROR(D437*Datos!$B$3, "Revisar")</f>
        <v>Revisar</v>
      </c>
      <c r="F437" s="12" t="str">
        <f>IFERROR(E437*Datos!$B$1, "Revisar")</f>
        <v>Revisar</v>
      </c>
      <c r="G437" s="13" t="str">
        <f>IFERROR((VLOOKUP(B437, Roccia!$B$2:$D997, 3, FALSE) /(1-Datos!$E$1)), "Revisar")</f>
        <v>Revisar</v>
      </c>
      <c r="H437" s="13" t="str">
        <f>IFERROR(G437*Datos!$B$3, "Revisar")</f>
        <v>Revisar</v>
      </c>
      <c r="I437" s="13" t="str">
        <f t="shared" si="1"/>
        <v>Revisar</v>
      </c>
    </row>
    <row r="438">
      <c r="A438" s="8"/>
      <c r="B438" s="9"/>
      <c r="C438" s="10"/>
      <c r="D438" s="11" t="str">
        <f>IFERROR((VLOOKUP(B438, Roccia!$B$2:$D997, 3, FALSE)*(1+Datos!$E$2)), "Revisar")</f>
        <v>Revisar</v>
      </c>
      <c r="E438" s="11" t="str">
        <f>IFERROR(D438*Datos!$B$3, "Revisar")</f>
        <v>Revisar</v>
      </c>
      <c r="F438" s="12" t="str">
        <f>IFERROR(E438*Datos!$B$1, "Revisar")</f>
        <v>Revisar</v>
      </c>
      <c r="G438" s="13" t="str">
        <f>IFERROR((VLOOKUP(B438, Roccia!$B$2:$D997, 3, FALSE) /(1-Datos!$E$1)), "Revisar")</f>
        <v>Revisar</v>
      </c>
      <c r="H438" s="13" t="str">
        <f>IFERROR(G438*Datos!$B$3, "Revisar")</f>
        <v>Revisar</v>
      </c>
      <c r="I438" s="13" t="str">
        <f t="shared" si="1"/>
        <v>Revisar</v>
      </c>
    </row>
    <row r="439">
      <c r="A439" s="8"/>
      <c r="B439" s="9"/>
      <c r="C439" s="10"/>
      <c r="D439" s="11" t="str">
        <f>IFERROR((VLOOKUP(B439, Roccia!$B$2:$D997, 3, FALSE)*(1+Datos!$E$2)), "Revisar")</f>
        <v>Revisar</v>
      </c>
      <c r="E439" s="11" t="str">
        <f>IFERROR(D439*Datos!$B$3, "Revisar")</f>
        <v>Revisar</v>
      </c>
      <c r="F439" s="12" t="str">
        <f>IFERROR(E439*Datos!$B$1, "Revisar")</f>
        <v>Revisar</v>
      </c>
      <c r="G439" s="13" t="str">
        <f>IFERROR((VLOOKUP(B439, Roccia!$B$2:$D997, 3, FALSE) /(1-Datos!$E$1)), "Revisar")</f>
        <v>Revisar</v>
      </c>
      <c r="H439" s="13" t="str">
        <f>IFERROR(G439*Datos!$B$3, "Revisar")</f>
        <v>Revisar</v>
      </c>
      <c r="I439" s="13" t="str">
        <f t="shared" si="1"/>
        <v>Revisar</v>
      </c>
    </row>
    <row r="440">
      <c r="A440" s="8"/>
      <c r="B440" s="9"/>
      <c r="C440" s="10"/>
      <c r="D440" s="11" t="str">
        <f>IFERROR((VLOOKUP(B440, Roccia!$B$2:$D997, 3, FALSE)*(1+Datos!$E$2)), "Revisar")</f>
        <v>Revisar</v>
      </c>
      <c r="E440" s="11" t="str">
        <f>IFERROR(D440*Datos!$B$3, "Revisar")</f>
        <v>Revisar</v>
      </c>
      <c r="F440" s="12" t="str">
        <f>IFERROR(E440*Datos!$B$1, "Revisar")</f>
        <v>Revisar</v>
      </c>
      <c r="G440" s="13" t="str">
        <f>IFERROR((VLOOKUP(B440, Roccia!$B$2:$D997, 3, FALSE) /(1-Datos!$E$1)), "Revisar")</f>
        <v>Revisar</v>
      </c>
      <c r="H440" s="13" t="str">
        <f>IFERROR(G440*Datos!$B$3, "Revisar")</f>
        <v>Revisar</v>
      </c>
      <c r="I440" s="13" t="str">
        <f t="shared" si="1"/>
        <v>Revisar</v>
      </c>
    </row>
    <row r="441">
      <c r="A441" s="8"/>
      <c r="B441" s="9"/>
      <c r="C441" s="10"/>
      <c r="D441" s="11" t="str">
        <f>IFERROR((VLOOKUP(B441, Roccia!$B$2:$D997, 3, FALSE)*(1+Datos!$E$2)), "Revisar")</f>
        <v>Revisar</v>
      </c>
      <c r="E441" s="11" t="str">
        <f>IFERROR(D441*Datos!$B$3, "Revisar")</f>
        <v>Revisar</v>
      </c>
      <c r="F441" s="12" t="str">
        <f>IFERROR(E441*Datos!$B$1, "Revisar")</f>
        <v>Revisar</v>
      </c>
      <c r="G441" s="13" t="str">
        <f>IFERROR((VLOOKUP(B441, Roccia!$B$2:$D997, 3, FALSE) /(1-Datos!$E$1)), "Revisar")</f>
        <v>Revisar</v>
      </c>
      <c r="H441" s="13" t="str">
        <f>IFERROR(G441*Datos!$B$3, "Revisar")</f>
        <v>Revisar</v>
      </c>
      <c r="I441" s="13" t="str">
        <f t="shared" si="1"/>
        <v>Revisar</v>
      </c>
    </row>
    <row r="442">
      <c r="A442" s="8"/>
      <c r="B442" s="9"/>
      <c r="C442" s="10"/>
      <c r="D442" s="11" t="str">
        <f>IFERROR((VLOOKUP(B442, Roccia!$B$2:$D997, 3, FALSE)*(1+Datos!$E$2)), "Revisar")</f>
        <v>Revisar</v>
      </c>
      <c r="E442" s="11" t="str">
        <f>IFERROR(D442*Datos!$B$3, "Revisar")</f>
        <v>Revisar</v>
      </c>
      <c r="F442" s="12" t="str">
        <f>IFERROR(E442*Datos!$B$1, "Revisar")</f>
        <v>Revisar</v>
      </c>
      <c r="G442" s="13" t="str">
        <f>IFERROR((VLOOKUP(B442, Roccia!$B$2:$D997, 3, FALSE) /(1-Datos!$E$1)), "Revisar")</f>
        <v>Revisar</v>
      </c>
      <c r="H442" s="13" t="str">
        <f>IFERROR(G442*Datos!$B$3, "Revisar")</f>
        <v>Revisar</v>
      </c>
      <c r="I442" s="13" t="str">
        <f t="shared" si="1"/>
        <v>Revisar</v>
      </c>
    </row>
    <row r="443">
      <c r="A443" s="8"/>
      <c r="B443" s="9"/>
      <c r="C443" s="10"/>
      <c r="D443" s="11" t="str">
        <f>IFERROR((VLOOKUP(B443, Roccia!$B$2:$D997, 3, FALSE)*(1+Datos!$E$2)), "Revisar")</f>
        <v>Revisar</v>
      </c>
      <c r="E443" s="11" t="str">
        <f>IFERROR(D443*Datos!$B$3, "Revisar")</f>
        <v>Revisar</v>
      </c>
      <c r="F443" s="12" t="str">
        <f>IFERROR(E443*Datos!$B$1, "Revisar")</f>
        <v>Revisar</v>
      </c>
      <c r="G443" s="13" t="str">
        <f>IFERROR((VLOOKUP(B443, Roccia!$B$2:$D997, 3, FALSE) /(1-Datos!$E$1)), "Revisar")</f>
        <v>Revisar</v>
      </c>
      <c r="H443" s="13" t="str">
        <f>IFERROR(G443*Datos!$B$3, "Revisar")</f>
        <v>Revisar</v>
      </c>
      <c r="I443" s="13" t="str">
        <f t="shared" si="1"/>
        <v>Revisar</v>
      </c>
    </row>
    <row r="444">
      <c r="A444" s="8"/>
      <c r="B444" s="9"/>
      <c r="C444" s="10"/>
      <c r="D444" s="11" t="str">
        <f>IFERROR((VLOOKUP(B444, Roccia!$B$2:$D997, 3, FALSE)*(1+Datos!$E$2)), "Revisar")</f>
        <v>Revisar</v>
      </c>
      <c r="E444" s="11" t="str">
        <f>IFERROR(D444*Datos!$B$3, "Revisar")</f>
        <v>Revisar</v>
      </c>
      <c r="F444" s="12" t="str">
        <f>IFERROR(E444*Datos!$B$1, "Revisar")</f>
        <v>Revisar</v>
      </c>
      <c r="G444" s="13" t="str">
        <f>IFERROR((VLOOKUP(B444, Roccia!$B$2:$D997, 3, FALSE) /(1-Datos!$E$1)), "Revisar")</f>
        <v>Revisar</v>
      </c>
      <c r="H444" s="13" t="str">
        <f>IFERROR(G444*Datos!$B$3, "Revisar")</f>
        <v>Revisar</v>
      </c>
      <c r="I444" s="13" t="str">
        <f t="shared" si="1"/>
        <v>Revisar</v>
      </c>
    </row>
    <row r="445">
      <c r="A445" s="8"/>
      <c r="B445" s="9"/>
      <c r="C445" s="10"/>
      <c r="D445" s="11" t="str">
        <f>IFERROR((VLOOKUP(B445, Roccia!$B$2:$D997, 3, FALSE)*(1+Datos!$E$2)), "Revisar")</f>
        <v>Revisar</v>
      </c>
      <c r="E445" s="11" t="str">
        <f>IFERROR(D445*Datos!$B$3, "Revisar")</f>
        <v>Revisar</v>
      </c>
      <c r="F445" s="12" t="str">
        <f>IFERROR(E445*Datos!$B$1, "Revisar")</f>
        <v>Revisar</v>
      </c>
      <c r="G445" s="13" t="str">
        <f>IFERROR((VLOOKUP(B445, Roccia!$B$2:$D997, 3, FALSE) /(1-Datos!$E$1)), "Revisar")</f>
        <v>Revisar</v>
      </c>
      <c r="H445" s="13" t="str">
        <f>IFERROR(G445*Datos!$B$3, "Revisar")</f>
        <v>Revisar</v>
      </c>
      <c r="I445" s="13" t="str">
        <f t="shared" si="1"/>
        <v>Revisar</v>
      </c>
    </row>
    <row r="446">
      <c r="A446" s="8"/>
      <c r="B446" s="9"/>
      <c r="C446" s="10"/>
      <c r="D446" s="11" t="str">
        <f>IFERROR((VLOOKUP(B446, Roccia!$B$2:$D997, 3, FALSE)*(1+Datos!$E$2)), "Revisar")</f>
        <v>Revisar</v>
      </c>
      <c r="E446" s="11" t="str">
        <f>IFERROR(D446*Datos!$B$3, "Revisar")</f>
        <v>Revisar</v>
      </c>
      <c r="F446" s="12" t="str">
        <f>IFERROR(E446*Datos!$B$1, "Revisar")</f>
        <v>Revisar</v>
      </c>
      <c r="G446" s="13" t="str">
        <f>IFERROR((VLOOKUP(B446, Roccia!$B$2:$D997, 3, FALSE) /(1-Datos!$E$1)), "Revisar")</f>
        <v>Revisar</v>
      </c>
      <c r="H446" s="13" t="str">
        <f>IFERROR(G446*Datos!$B$3, "Revisar")</f>
        <v>Revisar</v>
      </c>
      <c r="I446" s="13" t="str">
        <f t="shared" si="1"/>
        <v>Revisar</v>
      </c>
    </row>
    <row r="447">
      <c r="A447" s="8"/>
      <c r="B447" s="9"/>
      <c r="C447" s="10"/>
      <c r="D447" s="11" t="str">
        <f>IFERROR((VLOOKUP(B447, Roccia!$B$2:$D997, 3, FALSE)*(1+Datos!$E$2)), "Revisar")</f>
        <v>Revisar</v>
      </c>
      <c r="E447" s="11" t="str">
        <f>IFERROR(D447*Datos!$B$3, "Revisar")</f>
        <v>Revisar</v>
      </c>
      <c r="F447" s="12" t="str">
        <f>IFERROR(E447*Datos!$B$1, "Revisar")</f>
        <v>Revisar</v>
      </c>
      <c r="G447" s="13" t="str">
        <f>IFERROR((VLOOKUP(B447, Roccia!$B$2:$D997, 3, FALSE) /(1-Datos!$E$1)), "Revisar")</f>
        <v>Revisar</v>
      </c>
      <c r="H447" s="13" t="str">
        <f>IFERROR(G447*Datos!$B$3, "Revisar")</f>
        <v>Revisar</v>
      </c>
      <c r="I447" s="13" t="str">
        <f t="shared" si="1"/>
        <v>Revisar</v>
      </c>
    </row>
    <row r="448">
      <c r="A448" s="8"/>
      <c r="B448" s="9"/>
      <c r="C448" s="10"/>
      <c r="D448" s="11" t="str">
        <f>IFERROR((VLOOKUP(B448, Roccia!$B$2:$D997, 3, FALSE)*(1+Datos!$E$2)), "Revisar")</f>
        <v>Revisar</v>
      </c>
      <c r="E448" s="11" t="str">
        <f>IFERROR(D448*Datos!$B$3, "Revisar")</f>
        <v>Revisar</v>
      </c>
      <c r="F448" s="12" t="str">
        <f>IFERROR(E448*Datos!$B$1, "Revisar")</f>
        <v>Revisar</v>
      </c>
      <c r="G448" s="13" t="str">
        <f>IFERROR((VLOOKUP(B448, Roccia!$B$2:$D997, 3, FALSE) /(1-Datos!$E$1)), "Revisar")</f>
        <v>Revisar</v>
      </c>
      <c r="H448" s="13" t="str">
        <f>IFERROR(G448*Datos!$B$3, "Revisar")</f>
        <v>Revisar</v>
      </c>
      <c r="I448" s="13" t="str">
        <f t="shared" si="1"/>
        <v>Revisar</v>
      </c>
    </row>
    <row r="449">
      <c r="A449" s="8"/>
      <c r="B449" s="9"/>
      <c r="C449" s="10"/>
      <c r="D449" s="11" t="str">
        <f>IFERROR((VLOOKUP(B449, Roccia!$B$2:$D997, 3, FALSE)*(1+Datos!$E$2)), "Revisar")</f>
        <v>Revisar</v>
      </c>
      <c r="E449" s="11" t="str">
        <f>IFERROR(D449*Datos!$B$3, "Revisar")</f>
        <v>Revisar</v>
      </c>
      <c r="F449" s="12" t="str">
        <f>IFERROR(E449*Datos!$B$1, "Revisar")</f>
        <v>Revisar</v>
      </c>
      <c r="G449" s="13" t="str">
        <f>IFERROR((VLOOKUP(B449, Roccia!$B$2:$D997, 3, FALSE) /(1-Datos!$E$1)), "Revisar")</f>
        <v>Revisar</v>
      </c>
      <c r="H449" s="13" t="str">
        <f>IFERROR(G449*Datos!$B$3, "Revisar")</f>
        <v>Revisar</v>
      </c>
      <c r="I449" s="13" t="str">
        <f t="shared" si="1"/>
        <v>Revisar</v>
      </c>
    </row>
    <row r="450">
      <c r="A450" s="9"/>
      <c r="B450" s="9"/>
      <c r="C450" s="10"/>
      <c r="D450" s="11" t="str">
        <f>IFERROR((VLOOKUP(B450, Roccia!$B$2:$D997, 3, FALSE)*(1+Datos!$E$2)), "Revisar")</f>
        <v>Revisar</v>
      </c>
      <c r="E450" s="11" t="str">
        <f>IFERROR(D450*Datos!$B$3, "Revisar")</f>
        <v>Revisar</v>
      </c>
      <c r="F450" s="12" t="str">
        <f>IFERROR(E450*Datos!$B$1, "Revisar")</f>
        <v>Revisar</v>
      </c>
      <c r="G450" s="13" t="str">
        <f>IFERROR((VLOOKUP(B450, Roccia!$B$2:$D997, 3, FALSE) /(1-Datos!$E$1)), "Revisar")</f>
        <v>Revisar</v>
      </c>
      <c r="H450" s="13" t="str">
        <f>IFERROR(G450*Datos!$B$3, "Revisar")</f>
        <v>Revisar</v>
      </c>
      <c r="I450" s="13" t="str">
        <f t="shared" si="1"/>
        <v>Revisar</v>
      </c>
    </row>
    <row r="451">
      <c r="A451" s="9"/>
      <c r="B451" s="9"/>
      <c r="C451" s="10"/>
      <c r="D451" s="11" t="str">
        <f>IFERROR((VLOOKUP(B451, Roccia!$B$2:$D997, 3, FALSE)*(1+Datos!$E$2)), "Revisar")</f>
        <v>Revisar</v>
      </c>
      <c r="E451" s="11" t="str">
        <f>IFERROR(D451*Datos!$B$3, "Revisar")</f>
        <v>Revisar</v>
      </c>
      <c r="F451" s="12" t="str">
        <f>IFERROR(E451*Datos!$B$1, "Revisar")</f>
        <v>Revisar</v>
      </c>
      <c r="G451" s="13" t="str">
        <f>IFERROR((VLOOKUP(B451, Roccia!$B$2:$D997, 3, FALSE) /(1-Datos!$E$1)), "Revisar")</f>
        <v>Revisar</v>
      </c>
      <c r="H451" s="13" t="str">
        <f>IFERROR(G451*Datos!$B$3, "Revisar")</f>
        <v>Revisar</v>
      </c>
      <c r="I451" s="13" t="str">
        <f t="shared" si="1"/>
        <v>Revisar</v>
      </c>
    </row>
    <row r="452">
      <c r="A452" s="8"/>
      <c r="B452" s="9"/>
      <c r="C452" s="10"/>
      <c r="D452" s="11" t="str">
        <f>IFERROR((VLOOKUP(B452, Roccia!$B$2:$D997, 3, FALSE)*(1+Datos!$E$2)), "Revisar")</f>
        <v>Revisar</v>
      </c>
      <c r="E452" s="11" t="str">
        <f>IFERROR(D452*Datos!$B$3, "Revisar")</f>
        <v>Revisar</v>
      </c>
      <c r="F452" s="12" t="str">
        <f>IFERROR(E452*Datos!$B$1, "Revisar")</f>
        <v>Revisar</v>
      </c>
      <c r="G452" s="13" t="str">
        <f>IFERROR((VLOOKUP(B452, Roccia!$B$2:$D997, 3, FALSE) /(1-Datos!$E$1)), "Revisar")</f>
        <v>Revisar</v>
      </c>
      <c r="H452" s="13" t="str">
        <f>IFERROR(G452*Datos!$B$3, "Revisar")</f>
        <v>Revisar</v>
      </c>
      <c r="I452" s="13" t="str">
        <f t="shared" si="1"/>
        <v>Revisar</v>
      </c>
    </row>
    <row r="453">
      <c r="A453" s="8"/>
      <c r="B453" s="9"/>
      <c r="C453" s="10"/>
      <c r="D453" s="11" t="str">
        <f>IFERROR((VLOOKUP(B453, Roccia!$B$2:$D997, 3, FALSE)*(1+Datos!$E$2)), "Revisar")</f>
        <v>Revisar</v>
      </c>
      <c r="E453" s="11" t="str">
        <f>IFERROR(D453*Datos!$B$3, "Revisar")</f>
        <v>Revisar</v>
      </c>
      <c r="F453" s="12" t="str">
        <f>IFERROR(E453*Datos!$B$1, "Revisar")</f>
        <v>Revisar</v>
      </c>
      <c r="G453" s="13" t="str">
        <f>IFERROR((VLOOKUP(B453, Roccia!$B$2:$D997, 3, FALSE) /(1-Datos!$E$1)), "Revisar")</f>
        <v>Revisar</v>
      </c>
      <c r="H453" s="13" t="str">
        <f>IFERROR(G453*Datos!$B$3, "Revisar")</f>
        <v>Revisar</v>
      </c>
      <c r="I453" s="13" t="str">
        <f t="shared" si="1"/>
        <v>Revisar</v>
      </c>
    </row>
    <row r="454">
      <c r="A454" s="8"/>
      <c r="B454" s="9"/>
      <c r="C454" s="10"/>
      <c r="D454" s="11" t="str">
        <f>IFERROR((VLOOKUP(B454, Roccia!$B$2:$D997, 3, FALSE)*(1+Datos!$E$2)), "Revisar")</f>
        <v>Revisar</v>
      </c>
      <c r="E454" s="11" t="str">
        <f>IFERROR(D454*Datos!$B$3, "Revisar")</f>
        <v>Revisar</v>
      </c>
      <c r="F454" s="12" t="str">
        <f>IFERROR(E454*Datos!$B$1, "Revisar")</f>
        <v>Revisar</v>
      </c>
      <c r="G454" s="13" t="str">
        <f>IFERROR((VLOOKUP(B454, Roccia!$B$2:$D997, 3, FALSE) /(1-Datos!$E$1)), "Revisar")</f>
        <v>Revisar</v>
      </c>
      <c r="H454" s="13" t="str">
        <f>IFERROR(G454*Datos!$B$3, "Revisar")</f>
        <v>Revisar</v>
      </c>
      <c r="I454" s="13" t="str">
        <f t="shared" si="1"/>
        <v>Revisar</v>
      </c>
    </row>
    <row r="455">
      <c r="A455" s="8"/>
      <c r="B455" s="9"/>
      <c r="C455" s="10"/>
      <c r="D455" s="11" t="str">
        <f>IFERROR((VLOOKUP(B455, Roccia!$B$2:$D997, 3, FALSE)*(1+Datos!$E$2)), "Revisar")</f>
        <v>Revisar</v>
      </c>
      <c r="E455" s="11" t="str">
        <f>IFERROR(D455*Datos!$B$3, "Revisar")</f>
        <v>Revisar</v>
      </c>
      <c r="F455" s="12" t="str">
        <f>IFERROR(E455*Datos!$B$1, "Revisar")</f>
        <v>Revisar</v>
      </c>
      <c r="G455" s="13" t="str">
        <f>IFERROR((VLOOKUP(B455, Roccia!$B$2:$D997, 3, FALSE) /(1-Datos!$E$1)), "Revisar")</f>
        <v>Revisar</v>
      </c>
      <c r="H455" s="13" t="str">
        <f>IFERROR(G455*Datos!$B$3, "Revisar")</f>
        <v>Revisar</v>
      </c>
      <c r="I455" s="13" t="str">
        <f t="shared" si="1"/>
        <v>Revisar</v>
      </c>
    </row>
    <row r="456">
      <c r="A456" s="8"/>
      <c r="B456" s="9"/>
      <c r="C456" s="10"/>
      <c r="D456" s="11" t="str">
        <f>IFERROR((VLOOKUP(B456, Roccia!$B$2:$D997, 3, FALSE)*(1+Datos!$E$2)), "Revisar")</f>
        <v>Revisar</v>
      </c>
      <c r="E456" s="11" t="str">
        <f>IFERROR(D456*Datos!$B$3, "Revisar")</f>
        <v>Revisar</v>
      </c>
      <c r="F456" s="12" t="str">
        <f>IFERROR(E456*Datos!$B$1, "Revisar")</f>
        <v>Revisar</v>
      </c>
      <c r="G456" s="13" t="str">
        <f>IFERROR((VLOOKUP(B456, Roccia!$B$2:$D997, 3, FALSE) /(1-Datos!$E$1)), "Revisar")</f>
        <v>Revisar</v>
      </c>
      <c r="H456" s="13" t="str">
        <f>IFERROR(G456*Datos!$B$3, "Revisar")</f>
        <v>Revisar</v>
      </c>
      <c r="I456" s="13" t="str">
        <f t="shared" si="1"/>
        <v>Revisar</v>
      </c>
    </row>
    <row r="457">
      <c r="A457" s="8"/>
      <c r="B457" s="9"/>
      <c r="C457" s="10"/>
      <c r="D457" s="11" t="str">
        <f>IFERROR((VLOOKUP(B457, Roccia!$B$2:$D997, 3, FALSE)*(1+Datos!$E$2)), "Revisar")</f>
        <v>Revisar</v>
      </c>
      <c r="E457" s="11" t="str">
        <f>IFERROR(D457*Datos!$B$3, "Revisar")</f>
        <v>Revisar</v>
      </c>
      <c r="F457" s="12" t="str">
        <f>IFERROR(E457*Datos!$B$1, "Revisar")</f>
        <v>Revisar</v>
      </c>
      <c r="G457" s="13" t="str">
        <f>IFERROR((VLOOKUP(B457, Roccia!$B$2:$D997, 3, FALSE) /(1-Datos!$E$1)), "Revisar")</f>
        <v>Revisar</v>
      </c>
      <c r="H457" s="13" t="str">
        <f>IFERROR(G457*Datos!$B$3, "Revisar")</f>
        <v>Revisar</v>
      </c>
      <c r="I457" s="13" t="str">
        <f t="shared" si="1"/>
        <v>Revisar</v>
      </c>
    </row>
    <row r="458">
      <c r="A458" s="8"/>
      <c r="B458" s="9"/>
      <c r="C458" s="10"/>
      <c r="D458" s="11" t="str">
        <f>IFERROR((VLOOKUP(B458, Roccia!$B$2:$D997, 3, FALSE)*(1+Datos!$E$2)), "Revisar")</f>
        <v>Revisar</v>
      </c>
      <c r="E458" s="11" t="str">
        <f>IFERROR(D458*Datos!$B$3, "Revisar")</f>
        <v>Revisar</v>
      </c>
      <c r="F458" s="12" t="str">
        <f>IFERROR(E458*Datos!$B$1, "Revisar")</f>
        <v>Revisar</v>
      </c>
      <c r="G458" s="13" t="str">
        <f>IFERROR((VLOOKUP(B458, Roccia!$B$2:$D997, 3, FALSE) /(1-Datos!$E$1)), "Revisar")</f>
        <v>Revisar</v>
      </c>
      <c r="H458" s="13" t="str">
        <f>IFERROR(G458*Datos!$B$3, "Revisar")</f>
        <v>Revisar</v>
      </c>
      <c r="I458" s="13" t="str">
        <f t="shared" si="1"/>
        <v>Revisar</v>
      </c>
    </row>
    <row r="459">
      <c r="A459" s="8"/>
      <c r="B459" s="9"/>
      <c r="C459" s="10"/>
      <c r="D459" s="11" t="str">
        <f>IFERROR((VLOOKUP(B459, Roccia!$B$2:$D997, 3, FALSE)*(1+Datos!$E$2)), "Revisar")</f>
        <v>Revisar</v>
      </c>
      <c r="E459" s="11" t="str">
        <f>IFERROR(D459*Datos!$B$3, "Revisar")</f>
        <v>Revisar</v>
      </c>
      <c r="F459" s="12" t="str">
        <f>IFERROR(E459*Datos!$B$1, "Revisar")</f>
        <v>Revisar</v>
      </c>
      <c r="G459" s="13" t="str">
        <f>IFERROR((VLOOKUP(B459, Roccia!$B$2:$D997, 3, FALSE) /(1-Datos!$E$1)), "Revisar")</f>
        <v>Revisar</v>
      </c>
      <c r="H459" s="13" t="str">
        <f>IFERROR(G459*Datos!$B$3, "Revisar")</f>
        <v>Revisar</v>
      </c>
      <c r="I459" s="13" t="str">
        <f t="shared" si="1"/>
        <v>Revisar</v>
      </c>
    </row>
    <row r="460">
      <c r="A460" s="8"/>
      <c r="B460" s="9"/>
      <c r="C460" s="10"/>
      <c r="D460" s="11" t="str">
        <f>IFERROR((VLOOKUP(B460, Roccia!$B$2:$D997, 3, FALSE)*(1+Datos!$E$2)), "Revisar")</f>
        <v>Revisar</v>
      </c>
      <c r="E460" s="11" t="str">
        <f>IFERROR(D460*Datos!$B$3, "Revisar")</f>
        <v>Revisar</v>
      </c>
      <c r="F460" s="12" t="str">
        <f>IFERROR(E460*Datos!$B$1, "Revisar")</f>
        <v>Revisar</v>
      </c>
      <c r="G460" s="13" t="str">
        <f>IFERROR((VLOOKUP(B460, Roccia!$B$2:$D997, 3, FALSE) /(1-Datos!$E$1)), "Revisar")</f>
        <v>Revisar</v>
      </c>
      <c r="H460" s="13" t="str">
        <f>IFERROR(G460*Datos!$B$3, "Revisar")</f>
        <v>Revisar</v>
      </c>
      <c r="I460" s="13" t="str">
        <f t="shared" si="1"/>
        <v>Revisar</v>
      </c>
    </row>
    <row r="461">
      <c r="A461" s="8"/>
      <c r="B461" s="9"/>
      <c r="C461" s="10"/>
      <c r="D461" s="11" t="str">
        <f>IFERROR((VLOOKUP(B461, Roccia!$B$2:$D997, 3, FALSE)*(1+Datos!$E$2)), "Revisar")</f>
        <v>Revisar</v>
      </c>
      <c r="E461" s="11" t="str">
        <f>IFERROR(D461*Datos!$B$3, "Revisar")</f>
        <v>Revisar</v>
      </c>
      <c r="F461" s="12" t="str">
        <f>IFERROR(E461*Datos!$B$1, "Revisar")</f>
        <v>Revisar</v>
      </c>
      <c r="G461" s="13" t="str">
        <f>IFERROR((VLOOKUP(B461, Roccia!$B$2:$D997, 3, FALSE) /(1-Datos!$E$1)), "Revisar")</f>
        <v>Revisar</v>
      </c>
      <c r="H461" s="13" t="str">
        <f>IFERROR(G461*Datos!$B$3, "Revisar")</f>
        <v>Revisar</v>
      </c>
      <c r="I461" s="13" t="str">
        <f t="shared" si="1"/>
        <v>Revisar</v>
      </c>
    </row>
    <row r="462">
      <c r="A462" s="8"/>
      <c r="B462" s="9"/>
      <c r="C462" s="10"/>
      <c r="D462" s="11" t="str">
        <f>IFERROR((VLOOKUP(B462, Roccia!$B$2:$D997, 3, FALSE)*(1+Datos!$E$2)), "Revisar")</f>
        <v>Revisar</v>
      </c>
      <c r="E462" s="11" t="str">
        <f>IFERROR(D462*Datos!$B$3, "Revisar")</f>
        <v>Revisar</v>
      </c>
      <c r="F462" s="12" t="str">
        <f>IFERROR(E462*Datos!$B$1, "Revisar")</f>
        <v>Revisar</v>
      </c>
      <c r="G462" s="13" t="str">
        <f>IFERROR((VLOOKUP(B462, Roccia!$B$2:$D997, 3, FALSE) /(1-Datos!$E$1)), "Revisar")</f>
        <v>Revisar</v>
      </c>
      <c r="H462" s="13" t="str">
        <f>IFERROR(G462*Datos!$B$3, "Revisar")</f>
        <v>Revisar</v>
      </c>
      <c r="I462" s="13" t="str">
        <f t="shared" si="1"/>
        <v>Revisar</v>
      </c>
    </row>
    <row r="463">
      <c r="A463" s="8"/>
      <c r="B463" s="9"/>
      <c r="C463" s="10"/>
      <c r="D463" s="11" t="str">
        <f>IFERROR((VLOOKUP(B463, Roccia!$B$2:$D997, 3, FALSE)*(1+Datos!$E$2)), "Revisar")</f>
        <v>Revisar</v>
      </c>
      <c r="E463" s="11" t="str">
        <f>IFERROR(D463*Datos!$B$3, "Revisar")</f>
        <v>Revisar</v>
      </c>
      <c r="F463" s="12" t="str">
        <f>IFERROR(E463*Datos!$B$1, "Revisar")</f>
        <v>Revisar</v>
      </c>
      <c r="G463" s="13" t="str">
        <f>IFERROR((VLOOKUP(B463, Roccia!$B$2:$D997, 3, FALSE) /(1-Datos!$E$1)), "Revisar")</f>
        <v>Revisar</v>
      </c>
      <c r="H463" s="13" t="str">
        <f>IFERROR(G463*Datos!$B$3, "Revisar")</f>
        <v>Revisar</v>
      </c>
      <c r="I463" s="13" t="str">
        <f t="shared" si="1"/>
        <v>Revisar</v>
      </c>
    </row>
    <row r="464">
      <c r="A464" s="8"/>
      <c r="B464" s="9"/>
      <c r="C464" s="10"/>
      <c r="D464" s="11" t="str">
        <f>IFERROR((VLOOKUP(B464, Roccia!$B$2:$D997, 3, FALSE)*(1+Datos!$E$2)), "Revisar")</f>
        <v>Revisar</v>
      </c>
      <c r="E464" s="11" t="str">
        <f>IFERROR(D464*Datos!$B$3, "Revisar")</f>
        <v>Revisar</v>
      </c>
      <c r="F464" s="12" t="str">
        <f>IFERROR(E464*Datos!$B$1, "Revisar")</f>
        <v>Revisar</v>
      </c>
      <c r="G464" s="13" t="str">
        <f>IFERROR((VLOOKUP(B464, Roccia!$B$2:$D997, 3, FALSE) /(1-Datos!$E$1)), "Revisar")</f>
        <v>Revisar</v>
      </c>
      <c r="H464" s="13" t="str">
        <f>IFERROR(G464*Datos!$B$3, "Revisar")</f>
        <v>Revisar</v>
      </c>
      <c r="I464" s="13" t="str">
        <f t="shared" si="1"/>
        <v>Revisar</v>
      </c>
    </row>
    <row r="465">
      <c r="A465" s="8"/>
      <c r="B465" s="9"/>
      <c r="C465" s="10"/>
      <c r="D465" s="11" t="str">
        <f>IFERROR((VLOOKUP(B465, Roccia!$B$2:$D997, 3, FALSE)*(1+Datos!$E$2)), "Revisar")</f>
        <v>Revisar</v>
      </c>
      <c r="E465" s="11" t="str">
        <f>IFERROR(D465*Datos!$B$3, "Revisar")</f>
        <v>Revisar</v>
      </c>
      <c r="F465" s="12" t="str">
        <f>IFERROR(E465*Datos!$B$1, "Revisar")</f>
        <v>Revisar</v>
      </c>
      <c r="G465" s="13" t="str">
        <f>IFERROR((VLOOKUP(B465, Roccia!$B$2:$D997, 3, FALSE) /(1-Datos!$E$1)), "Revisar")</f>
        <v>Revisar</v>
      </c>
      <c r="H465" s="13" t="str">
        <f>IFERROR(G465*Datos!$B$3, "Revisar")</f>
        <v>Revisar</v>
      </c>
      <c r="I465" s="13" t="str">
        <f t="shared" si="1"/>
        <v>Revisar</v>
      </c>
    </row>
    <row r="466">
      <c r="A466" s="8"/>
      <c r="B466" s="9"/>
      <c r="C466" s="10"/>
      <c r="D466" s="11" t="str">
        <f>IFERROR((VLOOKUP(B466, Roccia!$B$2:$D997, 3, FALSE)*(1+Datos!$E$2)), "Revisar")</f>
        <v>Revisar</v>
      </c>
      <c r="E466" s="11" t="str">
        <f>IFERROR(D466*Datos!$B$3, "Revisar")</f>
        <v>Revisar</v>
      </c>
      <c r="F466" s="12" t="str">
        <f>IFERROR(E466*Datos!$B$1, "Revisar")</f>
        <v>Revisar</v>
      </c>
      <c r="G466" s="13" t="str">
        <f>IFERROR((VLOOKUP(B466, Roccia!$B$2:$D997, 3, FALSE) /(1-Datos!$E$1)), "Revisar")</f>
        <v>Revisar</v>
      </c>
      <c r="H466" s="13" t="str">
        <f>IFERROR(G466*Datos!$B$3, "Revisar")</f>
        <v>Revisar</v>
      </c>
      <c r="I466" s="13" t="str">
        <f t="shared" si="1"/>
        <v>Revisar</v>
      </c>
    </row>
    <row r="467">
      <c r="A467" s="8"/>
      <c r="B467" s="9"/>
      <c r="C467" s="10"/>
      <c r="D467" s="11" t="str">
        <f>IFERROR((VLOOKUP(B467, Roccia!$B$2:$D997, 3, FALSE)*(1+Datos!$E$2)), "Revisar")</f>
        <v>Revisar</v>
      </c>
      <c r="E467" s="11" t="str">
        <f>IFERROR(D467*Datos!$B$3, "Revisar")</f>
        <v>Revisar</v>
      </c>
      <c r="F467" s="12" t="str">
        <f>IFERROR(E467*Datos!$B$1, "Revisar")</f>
        <v>Revisar</v>
      </c>
      <c r="G467" s="13" t="str">
        <f>IFERROR((VLOOKUP(B467, Roccia!$B$2:$D997, 3, FALSE) /(1-Datos!$E$1)), "Revisar")</f>
        <v>Revisar</v>
      </c>
      <c r="H467" s="13" t="str">
        <f>IFERROR(G467*Datos!$B$3, "Revisar")</f>
        <v>Revisar</v>
      </c>
      <c r="I467" s="13" t="str">
        <f t="shared" si="1"/>
        <v>Revisar</v>
      </c>
    </row>
    <row r="468">
      <c r="A468" s="8"/>
      <c r="B468" s="9"/>
      <c r="C468" s="10"/>
      <c r="D468" s="11" t="str">
        <f>IFERROR((VLOOKUP(B468, Roccia!$B$2:$D997, 3, FALSE)*(1+Datos!$E$2)), "Revisar")</f>
        <v>Revisar</v>
      </c>
      <c r="E468" s="11" t="str">
        <f>IFERROR(D468*Datos!$B$3, "Revisar")</f>
        <v>Revisar</v>
      </c>
      <c r="F468" s="12" t="str">
        <f>IFERROR(E468*Datos!$B$1, "Revisar")</f>
        <v>Revisar</v>
      </c>
      <c r="G468" s="13" t="str">
        <f>IFERROR((VLOOKUP(B468, Roccia!$B$2:$D997, 3, FALSE) /(1-Datos!$E$1)), "Revisar")</f>
        <v>Revisar</v>
      </c>
      <c r="H468" s="13" t="str">
        <f>IFERROR(G468*Datos!$B$3, "Revisar")</f>
        <v>Revisar</v>
      </c>
      <c r="I468" s="13" t="str">
        <f t="shared" si="1"/>
        <v>Revisar</v>
      </c>
    </row>
    <row r="469">
      <c r="A469" s="8"/>
      <c r="B469" s="9"/>
      <c r="C469" s="10"/>
      <c r="D469" s="11" t="str">
        <f>IFERROR((VLOOKUP(B469, Roccia!$B$2:$D997, 3, FALSE)*(1+Datos!$E$2)), "Revisar")</f>
        <v>Revisar</v>
      </c>
      <c r="E469" s="11" t="str">
        <f>IFERROR(D469*Datos!$B$3, "Revisar")</f>
        <v>Revisar</v>
      </c>
      <c r="F469" s="12" t="str">
        <f>IFERROR(E469*Datos!$B$1, "Revisar")</f>
        <v>Revisar</v>
      </c>
      <c r="G469" s="13" t="str">
        <f>IFERROR((VLOOKUP(B469, Roccia!$B$2:$D997, 3, FALSE) /(1-Datos!$E$1)), "Revisar")</f>
        <v>Revisar</v>
      </c>
      <c r="H469" s="13" t="str">
        <f>IFERROR(G469*Datos!$B$3, "Revisar")</f>
        <v>Revisar</v>
      </c>
      <c r="I469" s="13" t="str">
        <f t="shared" si="1"/>
        <v>Revisar</v>
      </c>
    </row>
    <row r="470">
      <c r="A470" s="8"/>
      <c r="B470" s="9"/>
      <c r="C470" s="10"/>
      <c r="D470" s="11" t="str">
        <f>IFERROR((VLOOKUP(B470, Roccia!$B$2:$D997, 3, FALSE)*(1+Datos!$E$2)), "Revisar")</f>
        <v>Revisar</v>
      </c>
      <c r="E470" s="11" t="str">
        <f>IFERROR(D470*Datos!$B$3, "Revisar")</f>
        <v>Revisar</v>
      </c>
      <c r="F470" s="12" t="str">
        <f>IFERROR(E470*Datos!$B$1, "Revisar")</f>
        <v>Revisar</v>
      </c>
      <c r="G470" s="13" t="str">
        <f>IFERROR((VLOOKUP(B470, Roccia!$B$2:$D997, 3, FALSE) /(1-Datos!$E$1)), "Revisar")</f>
        <v>Revisar</v>
      </c>
      <c r="H470" s="13" t="str">
        <f>IFERROR(G470*Datos!$B$3, "Revisar")</f>
        <v>Revisar</v>
      </c>
      <c r="I470" s="13" t="str">
        <f t="shared" si="1"/>
        <v>Revisar</v>
      </c>
    </row>
    <row r="471">
      <c r="A471" s="8"/>
      <c r="B471" s="9"/>
      <c r="C471" s="10"/>
      <c r="D471" s="11" t="str">
        <f>IFERROR((VLOOKUP(B471, Roccia!$B$2:$D997, 3, FALSE)*(1+Datos!$E$2)), "Revisar")</f>
        <v>Revisar</v>
      </c>
      <c r="E471" s="11" t="str">
        <f>IFERROR(D471*Datos!$B$3, "Revisar")</f>
        <v>Revisar</v>
      </c>
      <c r="F471" s="12" t="str">
        <f>IFERROR(E471*Datos!$B$1, "Revisar")</f>
        <v>Revisar</v>
      </c>
      <c r="G471" s="13" t="str">
        <f>IFERROR((VLOOKUP(B471, Roccia!$B$2:$D997, 3, FALSE) /(1-Datos!$E$1)), "Revisar")</f>
        <v>Revisar</v>
      </c>
      <c r="H471" s="13" t="str">
        <f>IFERROR(G471*Datos!$B$3, "Revisar")</f>
        <v>Revisar</v>
      </c>
      <c r="I471" s="13" t="str">
        <f t="shared" si="1"/>
        <v>Revisar</v>
      </c>
    </row>
    <row r="472">
      <c r="A472" s="8"/>
      <c r="B472" s="9"/>
      <c r="C472" s="10"/>
      <c r="D472" s="11" t="str">
        <f>IFERROR((VLOOKUP(B472, Roccia!$B$2:$D997, 3, FALSE)*(1+Datos!$E$2)), "Revisar")</f>
        <v>Revisar</v>
      </c>
      <c r="E472" s="11" t="str">
        <f>IFERROR(D472*Datos!$B$3, "Revisar")</f>
        <v>Revisar</v>
      </c>
      <c r="F472" s="12" t="str">
        <f>IFERROR(E472*Datos!$B$1, "Revisar")</f>
        <v>Revisar</v>
      </c>
      <c r="G472" s="13" t="str">
        <f>IFERROR((VLOOKUP(B472, Roccia!$B$2:$D997, 3, FALSE) /(1-Datos!$E$1)), "Revisar")</f>
        <v>Revisar</v>
      </c>
      <c r="H472" s="13" t="str">
        <f>IFERROR(G472*Datos!$B$3, "Revisar")</f>
        <v>Revisar</v>
      </c>
      <c r="I472" s="13" t="str">
        <f t="shared" si="1"/>
        <v>Revisar</v>
      </c>
    </row>
    <row r="473">
      <c r="A473" s="8"/>
      <c r="B473" s="9"/>
      <c r="C473" s="10"/>
      <c r="D473" s="11" t="str">
        <f>IFERROR((VLOOKUP(B473, Roccia!$B$2:$D997, 3, FALSE)*(1+Datos!$E$2)), "Revisar")</f>
        <v>Revisar</v>
      </c>
      <c r="E473" s="11" t="str">
        <f>IFERROR(D473*Datos!$B$3, "Revisar")</f>
        <v>Revisar</v>
      </c>
      <c r="F473" s="12" t="str">
        <f>IFERROR(E473*Datos!$B$1, "Revisar")</f>
        <v>Revisar</v>
      </c>
      <c r="G473" s="13" t="str">
        <f>IFERROR((VLOOKUP(B473, Roccia!$B$2:$D997, 3, FALSE) /(1-Datos!$E$1)), "Revisar")</f>
        <v>Revisar</v>
      </c>
      <c r="H473" s="13" t="str">
        <f>IFERROR(G473*Datos!$B$3, "Revisar")</f>
        <v>Revisar</v>
      </c>
      <c r="I473" s="13" t="str">
        <f t="shared" si="1"/>
        <v>Revisar</v>
      </c>
    </row>
    <row r="474">
      <c r="A474" s="8"/>
      <c r="B474" s="9"/>
      <c r="C474" s="10"/>
      <c r="D474" s="11" t="str">
        <f>IFERROR((VLOOKUP(B474, Roccia!$B$2:$D997, 3, FALSE)*(1+Datos!$E$2)), "Revisar")</f>
        <v>Revisar</v>
      </c>
      <c r="E474" s="11" t="str">
        <f>IFERROR(D474*Datos!$B$3, "Revisar")</f>
        <v>Revisar</v>
      </c>
      <c r="F474" s="12" t="str">
        <f>IFERROR(E474*Datos!$B$1, "Revisar")</f>
        <v>Revisar</v>
      </c>
      <c r="G474" s="13" t="str">
        <f>IFERROR((VLOOKUP(B474, Roccia!$B$2:$D997, 3, FALSE) /(1-Datos!$E$1)), "Revisar")</f>
        <v>Revisar</v>
      </c>
      <c r="H474" s="13" t="str">
        <f>IFERROR(G474*Datos!$B$3, "Revisar")</f>
        <v>Revisar</v>
      </c>
      <c r="I474" s="13" t="str">
        <f t="shared" si="1"/>
        <v>Revisar</v>
      </c>
    </row>
    <row r="475">
      <c r="A475" s="8"/>
      <c r="B475" s="9"/>
      <c r="C475" s="10"/>
      <c r="D475" s="11" t="str">
        <f>IFERROR((VLOOKUP(B475, Roccia!$B$2:$D997, 3, FALSE)*(1+Datos!$E$2)), "Revisar")</f>
        <v>Revisar</v>
      </c>
      <c r="E475" s="11" t="str">
        <f>IFERROR(D475*Datos!$B$3, "Revisar")</f>
        <v>Revisar</v>
      </c>
      <c r="F475" s="12" t="str">
        <f>IFERROR(E475*Datos!$B$1, "Revisar")</f>
        <v>Revisar</v>
      </c>
      <c r="G475" s="13" t="str">
        <f>IFERROR((VLOOKUP(B475, Roccia!$B$2:$D997, 3, FALSE) /(1-Datos!$E$1)), "Revisar")</f>
        <v>Revisar</v>
      </c>
      <c r="H475" s="13" t="str">
        <f>IFERROR(G475*Datos!$B$3, "Revisar")</f>
        <v>Revisar</v>
      </c>
      <c r="I475" s="13" t="str">
        <f t="shared" si="1"/>
        <v>Revisar</v>
      </c>
    </row>
    <row r="476">
      <c r="A476" s="8"/>
      <c r="B476" s="9"/>
      <c r="C476" s="10"/>
      <c r="D476" s="11" t="str">
        <f>IFERROR((VLOOKUP(B476, Roccia!$B$2:$D997, 3, FALSE)*(1+Datos!$E$2)), "Revisar")</f>
        <v>Revisar</v>
      </c>
      <c r="E476" s="11" t="str">
        <f>IFERROR(D476*Datos!$B$3, "Revisar")</f>
        <v>Revisar</v>
      </c>
      <c r="F476" s="12" t="str">
        <f>IFERROR(E476*Datos!$B$1, "Revisar")</f>
        <v>Revisar</v>
      </c>
      <c r="G476" s="13" t="str">
        <f>IFERROR((VLOOKUP(B476, Roccia!$B$2:$D997, 3, FALSE) /(1-Datos!$E$1)), "Revisar")</f>
        <v>Revisar</v>
      </c>
      <c r="H476" s="13" t="str">
        <f>IFERROR(G476*Datos!$B$3, "Revisar")</f>
        <v>Revisar</v>
      </c>
      <c r="I476" s="13" t="str">
        <f t="shared" si="1"/>
        <v>Revisar</v>
      </c>
    </row>
    <row r="477">
      <c r="A477" s="8"/>
      <c r="B477" s="9"/>
      <c r="C477" s="10"/>
      <c r="D477" s="11" t="str">
        <f>IFERROR((VLOOKUP(B477, Roccia!$B$2:$D997, 3, FALSE)*(1+Datos!$E$2)), "Revisar")</f>
        <v>Revisar</v>
      </c>
      <c r="E477" s="11" t="str">
        <f>IFERROR(D477*Datos!$B$3, "Revisar")</f>
        <v>Revisar</v>
      </c>
      <c r="F477" s="12" t="str">
        <f>IFERROR(E477*Datos!$B$1, "Revisar")</f>
        <v>Revisar</v>
      </c>
      <c r="G477" s="13" t="str">
        <f>IFERROR((VLOOKUP(B477, Roccia!$B$2:$D997, 3, FALSE) /(1-Datos!$E$1)), "Revisar")</f>
        <v>Revisar</v>
      </c>
      <c r="H477" s="13" t="str">
        <f>IFERROR(G477*Datos!$B$3, "Revisar")</f>
        <v>Revisar</v>
      </c>
      <c r="I477" s="13" t="str">
        <f t="shared" si="1"/>
        <v>Revisar</v>
      </c>
    </row>
    <row r="478">
      <c r="A478" s="8"/>
      <c r="B478" s="9"/>
      <c r="C478" s="10"/>
      <c r="D478" s="11" t="str">
        <f>IFERROR((VLOOKUP(B478, Roccia!$B$2:$D997, 3, FALSE)*(1+Datos!$E$2)), "Revisar")</f>
        <v>Revisar</v>
      </c>
      <c r="E478" s="11" t="str">
        <f>IFERROR(D478*Datos!$B$3, "Revisar")</f>
        <v>Revisar</v>
      </c>
      <c r="F478" s="12" t="str">
        <f>IFERROR(E478*Datos!$B$1, "Revisar")</f>
        <v>Revisar</v>
      </c>
      <c r="G478" s="13" t="str">
        <f>IFERROR((VLOOKUP(B478, Roccia!$B$2:$D997, 3, FALSE) /(1-Datos!$E$1)), "Revisar")</f>
        <v>Revisar</v>
      </c>
      <c r="H478" s="13" t="str">
        <f>IFERROR(G478*Datos!$B$3, "Revisar")</f>
        <v>Revisar</v>
      </c>
      <c r="I478" s="13" t="str">
        <f t="shared" si="1"/>
        <v>Revisar</v>
      </c>
    </row>
    <row r="479">
      <c r="A479" s="8"/>
      <c r="B479" s="9"/>
      <c r="C479" s="10"/>
      <c r="D479" s="11" t="str">
        <f>IFERROR((VLOOKUP(B479, Roccia!$B$2:$D997, 3, FALSE)*(1+Datos!$E$2)), "Revisar")</f>
        <v>Revisar</v>
      </c>
      <c r="E479" s="11" t="str">
        <f>IFERROR(D479*Datos!$B$3, "Revisar")</f>
        <v>Revisar</v>
      </c>
      <c r="F479" s="12" t="str">
        <f>IFERROR(E479*Datos!$B$1, "Revisar")</f>
        <v>Revisar</v>
      </c>
      <c r="G479" s="13" t="str">
        <f>IFERROR((VLOOKUP(B479, Roccia!$B$2:$D997, 3, FALSE) /(1-Datos!$E$1)), "Revisar")</f>
        <v>Revisar</v>
      </c>
      <c r="H479" s="13" t="str">
        <f>IFERROR(G479*Datos!$B$3, "Revisar")</f>
        <v>Revisar</v>
      </c>
      <c r="I479" s="13" t="str">
        <f t="shared" si="1"/>
        <v>Revisar</v>
      </c>
    </row>
    <row r="480">
      <c r="A480" s="8"/>
      <c r="B480" s="9"/>
      <c r="C480" s="10"/>
      <c r="D480" s="11" t="str">
        <f>IFERROR((VLOOKUP(B480, Roccia!$B$2:$D997, 3, FALSE)*(1+Datos!$E$2)), "Revisar")</f>
        <v>Revisar</v>
      </c>
      <c r="E480" s="11" t="str">
        <f>IFERROR(D480*Datos!$B$3, "Revisar")</f>
        <v>Revisar</v>
      </c>
      <c r="F480" s="12" t="str">
        <f>IFERROR(E480*Datos!$B$1, "Revisar")</f>
        <v>Revisar</v>
      </c>
      <c r="G480" s="13" t="str">
        <f>IFERROR((VLOOKUP(B480, Roccia!$B$2:$D997, 3, FALSE) /(1-Datos!$E$1)), "Revisar")</f>
        <v>Revisar</v>
      </c>
      <c r="H480" s="13" t="str">
        <f>IFERROR(G480*Datos!$B$3, "Revisar")</f>
        <v>Revisar</v>
      </c>
      <c r="I480" s="13" t="str">
        <f t="shared" si="1"/>
        <v>Revisar</v>
      </c>
    </row>
    <row r="481">
      <c r="A481" s="8"/>
      <c r="B481" s="9"/>
      <c r="C481" s="10"/>
      <c r="D481" s="11" t="str">
        <f>IFERROR((VLOOKUP(B481, Roccia!$B$2:$D997, 3, FALSE)*(1+Datos!$E$2)), "Revisar")</f>
        <v>Revisar</v>
      </c>
      <c r="E481" s="11" t="str">
        <f>IFERROR(D481*Datos!$B$3, "Revisar")</f>
        <v>Revisar</v>
      </c>
      <c r="F481" s="12" t="str">
        <f>IFERROR(E481*Datos!$B$1, "Revisar")</f>
        <v>Revisar</v>
      </c>
      <c r="G481" s="13" t="str">
        <f>IFERROR((VLOOKUP(B481, Roccia!$B$2:$D997, 3, FALSE) /(1-Datos!$E$1)), "Revisar")</f>
        <v>Revisar</v>
      </c>
      <c r="H481" s="13" t="str">
        <f>IFERROR(G481*Datos!$B$3, "Revisar")</f>
        <v>Revisar</v>
      </c>
      <c r="I481" s="13" t="str">
        <f t="shared" si="1"/>
        <v>Revisar</v>
      </c>
    </row>
    <row r="482">
      <c r="A482" s="8"/>
      <c r="B482" s="9"/>
      <c r="C482" s="10"/>
      <c r="D482" s="11" t="str">
        <f>IFERROR((VLOOKUP(B482, Roccia!$B$2:$D997, 3, FALSE)*(1+Datos!$E$2)), "Revisar")</f>
        <v>Revisar</v>
      </c>
      <c r="E482" s="11" t="str">
        <f>IFERROR(D482*Datos!$B$3, "Revisar")</f>
        <v>Revisar</v>
      </c>
      <c r="F482" s="12" t="str">
        <f>IFERROR(E482*Datos!$B$1, "Revisar")</f>
        <v>Revisar</v>
      </c>
      <c r="G482" s="13" t="str">
        <f>IFERROR((VLOOKUP(B482, Roccia!$B$2:$D997, 3, FALSE) /(1-Datos!$E$1)), "Revisar")</f>
        <v>Revisar</v>
      </c>
      <c r="H482" s="13" t="str">
        <f>IFERROR(G482*Datos!$B$3, "Revisar")</f>
        <v>Revisar</v>
      </c>
      <c r="I482" s="13" t="str">
        <f t="shared" si="1"/>
        <v>Revisar</v>
      </c>
    </row>
    <row r="483">
      <c r="A483" s="8"/>
      <c r="B483" s="9"/>
      <c r="C483" s="10"/>
      <c r="D483" s="11" t="str">
        <f>IFERROR((VLOOKUP(B483, Roccia!$B$2:$D997, 3, FALSE)*(1+Datos!$E$2)), "Revisar")</f>
        <v>Revisar</v>
      </c>
      <c r="E483" s="11" t="str">
        <f>IFERROR(D483*Datos!$B$3, "Revisar")</f>
        <v>Revisar</v>
      </c>
      <c r="F483" s="12" t="str">
        <f>IFERROR(E483*Datos!$B$1, "Revisar")</f>
        <v>Revisar</v>
      </c>
      <c r="G483" s="13" t="str">
        <f>IFERROR((VLOOKUP(B483, Roccia!$B$2:$D997, 3, FALSE) /(1-Datos!$E$1)), "Revisar")</f>
        <v>Revisar</v>
      </c>
      <c r="H483" s="13" t="str">
        <f>IFERROR(G483*Datos!$B$3, "Revisar")</f>
        <v>Revisar</v>
      </c>
      <c r="I483" s="13" t="str">
        <f t="shared" si="1"/>
        <v>Revisar</v>
      </c>
    </row>
    <row r="484">
      <c r="A484" s="8"/>
      <c r="B484" s="9"/>
      <c r="C484" s="10"/>
      <c r="D484" s="11" t="str">
        <f>IFERROR((VLOOKUP(B484, Roccia!$B$2:$D997, 3, FALSE)*(1+Datos!$E$2)), "Revisar")</f>
        <v>Revisar</v>
      </c>
      <c r="E484" s="11" t="str">
        <f>IFERROR(D484*Datos!$B$3, "Revisar")</f>
        <v>Revisar</v>
      </c>
      <c r="F484" s="12" t="str">
        <f>IFERROR(E484*Datos!$B$1, "Revisar")</f>
        <v>Revisar</v>
      </c>
      <c r="G484" s="13" t="str">
        <f>IFERROR((VLOOKUP(B484, Roccia!$B$2:$D997, 3, FALSE) /(1-Datos!$E$1)), "Revisar")</f>
        <v>Revisar</v>
      </c>
      <c r="H484" s="13" t="str">
        <f>IFERROR(G484*Datos!$B$3, "Revisar")</f>
        <v>Revisar</v>
      </c>
      <c r="I484" s="13" t="str">
        <f t="shared" si="1"/>
        <v>Revisar</v>
      </c>
    </row>
    <row r="485">
      <c r="A485" s="8"/>
      <c r="B485" s="9"/>
      <c r="C485" s="10"/>
      <c r="D485" s="11" t="str">
        <f>IFERROR((VLOOKUP(B485, Roccia!$B$2:$D997, 3, FALSE)*(1+Datos!$E$2)), "Revisar")</f>
        <v>Revisar</v>
      </c>
      <c r="E485" s="11" t="str">
        <f>IFERROR(D485*Datos!$B$3, "Revisar")</f>
        <v>Revisar</v>
      </c>
      <c r="F485" s="12" t="str">
        <f>IFERROR(E485*Datos!$B$1, "Revisar")</f>
        <v>Revisar</v>
      </c>
      <c r="G485" s="13" t="str">
        <f>IFERROR((VLOOKUP(B485, Roccia!$B$2:$D997, 3, FALSE) /(1-Datos!$E$1)), "Revisar")</f>
        <v>Revisar</v>
      </c>
      <c r="H485" s="13" t="str">
        <f>IFERROR(G485*Datos!$B$3, "Revisar")</f>
        <v>Revisar</v>
      </c>
      <c r="I485" s="13" t="str">
        <f t="shared" si="1"/>
        <v>Revisar</v>
      </c>
    </row>
    <row r="486">
      <c r="A486" s="8"/>
      <c r="B486" s="9"/>
      <c r="C486" s="10"/>
      <c r="D486" s="11" t="str">
        <f>IFERROR((VLOOKUP(B486, Roccia!$B$2:$D997, 3, FALSE)*(1+Datos!$E$2)), "Revisar")</f>
        <v>Revisar</v>
      </c>
      <c r="E486" s="11" t="str">
        <f>IFERROR(D486*Datos!$B$3, "Revisar")</f>
        <v>Revisar</v>
      </c>
      <c r="F486" s="12" t="str">
        <f>IFERROR(E486*Datos!$B$1, "Revisar")</f>
        <v>Revisar</v>
      </c>
      <c r="G486" s="13" t="str">
        <f>IFERROR((VLOOKUP(B486, Roccia!$B$2:$D997, 3, FALSE) /(1-Datos!$E$1)), "Revisar")</f>
        <v>Revisar</v>
      </c>
      <c r="H486" s="13" t="str">
        <f>IFERROR(G486*Datos!$B$3, "Revisar")</f>
        <v>Revisar</v>
      </c>
      <c r="I486" s="13" t="str">
        <f t="shared" si="1"/>
        <v>Revisar</v>
      </c>
    </row>
    <row r="487">
      <c r="A487" s="8"/>
      <c r="B487" s="9"/>
      <c r="C487" s="10"/>
      <c r="D487" s="11" t="str">
        <f>IFERROR((VLOOKUP(B487, Roccia!$B$2:$D997, 3, FALSE)*(1+Datos!$E$2)), "Revisar")</f>
        <v>Revisar</v>
      </c>
      <c r="E487" s="11" t="str">
        <f>IFERROR(D487*Datos!$B$3, "Revisar")</f>
        <v>Revisar</v>
      </c>
      <c r="F487" s="12" t="str">
        <f>IFERROR(E487*Datos!$B$1, "Revisar")</f>
        <v>Revisar</v>
      </c>
      <c r="G487" s="13" t="str">
        <f>IFERROR((VLOOKUP(B487, Roccia!$B$2:$D997, 3, FALSE) /(1-Datos!$E$1)), "Revisar")</f>
        <v>Revisar</v>
      </c>
      <c r="H487" s="13" t="str">
        <f>IFERROR(G487*Datos!$B$3, "Revisar")</f>
        <v>Revisar</v>
      </c>
      <c r="I487" s="13" t="str">
        <f t="shared" si="1"/>
        <v>Revisar</v>
      </c>
    </row>
    <row r="488">
      <c r="A488" s="8"/>
      <c r="B488" s="9"/>
      <c r="C488" s="10"/>
      <c r="D488" s="11" t="str">
        <f>IFERROR((VLOOKUP(B488, Roccia!$B$2:$D997, 3, FALSE)*(1+Datos!$E$2)), "Revisar")</f>
        <v>Revisar</v>
      </c>
      <c r="E488" s="11" t="str">
        <f>IFERROR(D488*Datos!$B$3, "Revisar")</f>
        <v>Revisar</v>
      </c>
      <c r="F488" s="12" t="str">
        <f>IFERROR(E488*Datos!$B$1, "Revisar")</f>
        <v>Revisar</v>
      </c>
      <c r="G488" s="13" t="str">
        <f>IFERROR((VLOOKUP(B488, Roccia!$B$2:$D997, 3, FALSE) /(1-Datos!$E$1)), "Revisar")</f>
        <v>Revisar</v>
      </c>
      <c r="H488" s="13" t="str">
        <f>IFERROR(G488*Datos!$B$3, "Revisar")</f>
        <v>Revisar</v>
      </c>
      <c r="I488" s="13" t="str">
        <f t="shared" si="1"/>
        <v>Revisar</v>
      </c>
    </row>
    <row r="489">
      <c r="A489" s="8"/>
      <c r="B489" s="9"/>
      <c r="C489" s="10"/>
      <c r="D489" s="11" t="str">
        <f>IFERROR((VLOOKUP(B489, Roccia!$B$2:$D997, 3, FALSE)*(1+Datos!$E$2)), "Revisar")</f>
        <v>Revisar</v>
      </c>
      <c r="E489" s="11" t="str">
        <f>IFERROR(D489*Datos!$B$3, "Revisar")</f>
        <v>Revisar</v>
      </c>
      <c r="F489" s="12" t="str">
        <f>IFERROR(E489*Datos!$B$1, "Revisar")</f>
        <v>Revisar</v>
      </c>
      <c r="G489" s="13" t="str">
        <f>IFERROR((VLOOKUP(B489, Roccia!$B$2:$D997, 3, FALSE) /(1-Datos!$E$1)), "Revisar")</f>
        <v>Revisar</v>
      </c>
      <c r="H489" s="13" t="str">
        <f>IFERROR(G489*Datos!$B$3, "Revisar")</f>
        <v>Revisar</v>
      </c>
      <c r="I489" s="13" t="str">
        <f t="shared" si="1"/>
        <v>Revisar</v>
      </c>
    </row>
    <row r="490">
      <c r="A490" s="8"/>
      <c r="B490" s="9"/>
      <c r="C490" s="10"/>
      <c r="D490" s="11" t="str">
        <f>IFERROR((VLOOKUP(B490, Roccia!$B$2:$D997, 3, FALSE)*(1+Datos!$E$2)), "Revisar")</f>
        <v>Revisar</v>
      </c>
      <c r="E490" s="11" t="str">
        <f>IFERROR(D490*Datos!$B$3, "Revisar")</f>
        <v>Revisar</v>
      </c>
      <c r="F490" s="12" t="str">
        <f>IFERROR(E490*Datos!$B$1, "Revisar")</f>
        <v>Revisar</v>
      </c>
      <c r="G490" s="13" t="str">
        <f>IFERROR((VLOOKUP(B490, Roccia!$B$2:$D997, 3, FALSE) /(1-Datos!$E$1)), "Revisar")</f>
        <v>Revisar</v>
      </c>
      <c r="H490" s="13" t="str">
        <f>IFERROR(G490*Datos!$B$3, "Revisar")</f>
        <v>Revisar</v>
      </c>
      <c r="I490" s="13" t="str">
        <f t="shared" si="1"/>
        <v>Revisar</v>
      </c>
    </row>
    <row r="491">
      <c r="A491" s="8"/>
      <c r="B491" s="9"/>
      <c r="C491" s="10"/>
      <c r="D491" s="11" t="str">
        <f>IFERROR((VLOOKUP(B491, Roccia!$B$2:$D997, 3, FALSE)*(1+Datos!$E$2)), "Revisar")</f>
        <v>Revisar</v>
      </c>
      <c r="E491" s="11" t="str">
        <f>IFERROR(D491*Datos!$B$3, "Revisar")</f>
        <v>Revisar</v>
      </c>
      <c r="F491" s="12" t="str">
        <f>IFERROR(E491*Datos!$B$1, "Revisar")</f>
        <v>Revisar</v>
      </c>
      <c r="G491" s="13" t="str">
        <f>IFERROR((VLOOKUP(B491, Roccia!$B$2:$D997, 3, FALSE) /(1-Datos!$E$1)), "Revisar")</f>
        <v>Revisar</v>
      </c>
      <c r="H491" s="13" t="str">
        <f>IFERROR(G491*Datos!$B$3, "Revisar")</f>
        <v>Revisar</v>
      </c>
      <c r="I491" s="13" t="str">
        <f t="shared" si="1"/>
        <v>Revisar</v>
      </c>
    </row>
    <row r="492">
      <c r="A492" s="8"/>
      <c r="B492" s="9"/>
      <c r="C492" s="10"/>
      <c r="D492" s="11" t="str">
        <f>IFERROR((VLOOKUP(B492, Roccia!$B$2:$D997, 3, FALSE)*(1+Datos!$E$2)), "Revisar")</f>
        <v>Revisar</v>
      </c>
      <c r="E492" s="11" t="str">
        <f>IFERROR(D492*Datos!$B$3, "Revisar")</f>
        <v>Revisar</v>
      </c>
      <c r="F492" s="12" t="str">
        <f>IFERROR(E492*Datos!$B$1, "Revisar")</f>
        <v>Revisar</v>
      </c>
      <c r="G492" s="13" t="str">
        <f>IFERROR((VLOOKUP(B492, Roccia!$B$2:$D997, 3, FALSE) /(1-Datos!$E$1)), "Revisar")</f>
        <v>Revisar</v>
      </c>
      <c r="H492" s="13" t="str">
        <f>IFERROR(G492*Datos!$B$3, "Revisar")</f>
        <v>Revisar</v>
      </c>
      <c r="I492" s="13" t="str">
        <f t="shared" si="1"/>
        <v>Revisar</v>
      </c>
    </row>
    <row r="493">
      <c r="A493" s="8"/>
      <c r="B493" s="9"/>
      <c r="C493" s="10"/>
      <c r="D493" s="11" t="str">
        <f>IFERROR((VLOOKUP(B493, Roccia!$B$2:$D997, 3, FALSE)*(1+Datos!$E$2)), "Revisar")</f>
        <v>Revisar</v>
      </c>
      <c r="E493" s="11" t="str">
        <f>IFERROR(D493*Datos!$B$3, "Revisar")</f>
        <v>Revisar</v>
      </c>
      <c r="F493" s="12" t="str">
        <f>IFERROR(E493*Datos!$B$1, "Revisar")</f>
        <v>Revisar</v>
      </c>
      <c r="G493" s="13" t="str">
        <f>IFERROR((VLOOKUP(B493, Roccia!$B$2:$D997, 3, FALSE) /(1-Datos!$E$1)), "Revisar")</f>
        <v>Revisar</v>
      </c>
      <c r="H493" s="13" t="str">
        <f>IFERROR(G493*Datos!$B$3, "Revisar")</f>
        <v>Revisar</v>
      </c>
      <c r="I493" s="13" t="str">
        <f t="shared" si="1"/>
        <v>Revisar</v>
      </c>
    </row>
    <row r="494">
      <c r="A494" s="8"/>
      <c r="B494" s="9"/>
      <c r="C494" s="10"/>
      <c r="D494" s="11" t="str">
        <f>IFERROR((VLOOKUP(B494, Roccia!$B$2:$D997, 3, FALSE)*(1+Datos!$E$2)), "Revisar")</f>
        <v>Revisar</v>
      </c>
      <c r="E494" s="11" t="str">
        <f>IFERROR(D494*Datos!$B$3, "Revisar")</f>
        <v>Revisar</v>
      </c>
      <c r="F494" s="12" t="str">
        <f>IFERROR(E494*Datos!$B$1, "Revisar")</f>
        <v>Revisar</v>
      </c>
      <c r="G494" s="13" t="str">
        <f>IFERROR((VLOOKUP(B494, Roccia!$B$2:$D997, 3, FALSE) /(1-Datos!$E$1)), "Revisar")</f>
        <v>Revisar</v>
      </c>
      <c r="H494" s="13" t="str">
        <f>IFERROR(G494*Datos!$B$3, "Revisar")</f>
        <v>Revisar</v>
      </c>
      <c r="I494" s="13" t="str">
        <f t="shared" si="1"/>
        <v>Revisar</v>
      </c>
    </row>
    <row r="495">
      <c r="A495" s="8"/>
      <c r="B495" s="9"/>
      <c r="C495" s="10"/>
      <c r="D495" s="11" t="str">
        <f>IFERROR((VLOOKUP(B495, Roccia!$B$2:$D997, 3, FALSE)*(1+Datos!$E$2)), "Revisar")</f>
        <v>Revisar</v>
      </c>
      <c r="E495" s="11" t="str">
        <f>IFERROR(D495*Datos!$B$3, "Revisar")</f>
        <v>Revisar</v>
      </c>
      <c r="F495" s="12" t="str">
        <f>IFERROR(E495*Datos!$B$1, "Revisar")</f>
        <v>Revisar</v>
      </c>
      <c r="G495" s="13" t="str">
        <f>IFERROR((VLOOKUP(B495, Roccia!$B$2:$D997, 3, FALSE) /(1-Datos!$E$1)), "Revisar")</f>
        <v>Revisar</v>
      </c>
      <c r="H495" s="13" t="str">
        <f>IFERROR(G495*Datos!$B$3, "Revisar")</f>
        <v>Revisar</v>
      </c>
      <c r="I495" s="13" t="str">
        <f t="shared" si="1"/>
        <v>Revisar</v>
      </c>
    </row>
    <row r="496">
      <c r="A496" s="8"/>
      <c r="B496" s="9"/>
      <c r="C496" s="10"/>
      <c r="D496" s="11" t="str">
        <f>IFERROR((VLOOKUP(B496, Roccia!$B$2:$D997, 3, FALSE)*(1+Datos!$E$2)), "Revisar")</f>
        <v>Revisar</v>
      </c>
      <c r="E496" s="11" t="str">
        <f>IFERROR(D496*Datos!$B$3, "Revisar")</f>
        <v>Revisar</v>
      </c>
      <c r="F496" s="12" t="str">
        <f>IFERROR(E496*Datos!$B$1, "Revisar")</f>
        <v>Revisar</v>
      </c>
      <c r="G496" s="13" t="str">
        <f>IFERROR((VLOOKUP(B496, Roccia!$B$2:$D997, 3, FALSE) /(1-Datos!$E$1)), "Revisar")</f>
        <v>Revisar</v>
      </c>
      <c r="H496" s="13" t="str">
        <f>IFERROR(G496*Datos!$B$3, "Revisar")</f>
        <v>Revisar</v>
      </c>
      <c r="I496" s="13" t="str">
        <f t="shared" si="1"/>
        <v>Revisar</v>
      </c>
    </row>
    <row r="497">
      <c r="A497" s="8"/>
      <c r="B497" s="9"/>
      <c r="C497" s="10"/>
      <c r="D497" s="11" t="str">
        <f>IFERROR((VLOOKUP(B497, Roccia!$B$2:$D997, 3, FALSE)*(1+Datos!$E$2)), "Revisar")</f>
        <v>Revisar</v>
      </c>
      <c r="E497" s="11" t="str">
        <f>IFERROR(D497*Datos!$B$3, "Revisar")</f>
        <v>Revisar</v>
      </c>
      <c r="F497" s="12" t="str">
        <f>IFERROR(E497*Datos!$B$1, "Revisar")</f>
        <v>Revisar</v>
      </c>
      <c r="G497" s="13" t="str">
        <f>IFERROR((VLOOKUP(B497, Roccia!$B$2:$D997, 3, FALSE) /(1-Datos!$E$1)), "Revisar")</f>
        <v>Revisar</v>
      </c>
      <c r="H497" s="13" t="str">
        <f>IFERROR(G497*Datos!$B$3, "Revisar")</f>
        <v>Revisar</v>
      </c>
      <c r="I497" s="13" t="str">
        <f t="shared" si="1"/>
        <v>Revisar</v>
      </c>
    </row>
    <row r="498">
      <c r="A498" s="8"/>
      <c r="B498" s="9"/>
      <c r="C498" s="10"/>
      <c r="D498" s="11" t="str">
        <f>IFERROR((VLOOKUP(B498, Roccia!$B$2:$D997, 3, FALSE)*(1+Datos!$E$2)), "Revisar")</f>
        <v>Revisar</v>
      </c>
      <c r="E498" s="11" t="str">
        <f>IFERROR(D498*Datos!$B$3, "Revisar")</f>
        <v>Revisar</v>
      </c>
      <c r="F498" s="12" t="str">
        <f>IFERROR(E498*Datos!$B$1, "Revisar")</f>
        <v>Revisar</v>
      </c>
      <c r="G498" s="13" t="str">
        <f>IFERROR((VLOOKUP(B498, Roccia!$B$2:$D997, 3, FALSE) /(1-Datos!$E$1)), "Revisar")</f>
        <v>Revisar</v>
      </c>
      <c r="H498" s="13" t="str">
        <f>IFERROR(G498*Datos!$B$3, "Revisar")</f>
        <v>Revisar</v>
      </c>
      <c r="I498" s="13" t="str">
        <f t="shared" si="1"/>
        <v>Revisar</v>
      </c>
    </row>
    <row r="499">
      <c r="A499" s="8"/>
      <c r="B499" s="9"/>
      <c r="C499" s="10"/>
      <c r="D499" s="11" t="str">
        <f>IFERROR((VLOOKUP(B499, Roccia!$B$2:$D997, 3, FALSE)*(1+Datos!$E$2)), "Revisar")</f>
        <v>Revisar</v>
      </c>
      <c r="E499" s="11" t="str">
        <f>IFERROR(D499*Datos!$B$3, "Revisar")</f>
        <v>Revisar</v>
      </c>
      <c r="F499" s="12" t="str">
        <f>IFERROR(E499*Datos!$B$1, "Revisar")</f>
        <v>Revisar</v>
      </c>
      <c r="G499" s="13" t="str">
        <f>IFERROR((VLOOKUP(B499, Roccia!$B$2:$D997, 3, FALSE) /(1-Datos!$E$1)), "Revisar")</f>
        <v>Revisar</v>
      </c>
      <c r="H499" s="13" t="str">
        <f>IFERROR(G499*Datos!$B$3, "Revisar")</f>
        <v>Revisar</v>
      </c>
      <c r="I499" s="13" t="str">
        <f t="shared" si="1"/>
        <v>Revisar</v>
      </c>
    </row>
    <row r="500">
      <c r="A500" s="8"/>
      <c r="B500" s="9"/>
      <c r="C500" s="10"/>
      <c r="D500" s="11" t="str">
        <f>IFERROR((VLOOKUP(B500, Roccia!$B$2:$D997, 3, FALSE)*(1+Datos!$E$2)), "Revisar")</f>
        <v>Revisar</v>
      </c>
      <c r="E500" s="11" t="str">
        <f>IFERROR(D500*Datos!$B$3, "Revisar")</f>
        <v>Revisar</v>
      </c>
      <c r="F500" s="12" t="str">
        <f>IFERROR(E500*Datos!$B$1, "Revisar")</f>
        <v>Revisar</v>
      </c>
      <c r="G500" s="13" t="str">
        <f>IFERROR((VLOOKUP(B500, Roccia!$B$2:$D997, 3, FALSE) /(1-Datos!$E$1)), "Revisar")</f>
        <v>Revisar</v>
      </c>
      <c r="H500" s="13" t="str">
        <f>IFERROR(G500*Datos!$B$3, "Revisar")</f>
        <v>Revisar</v>
      </c>
      <c r="I500" s="13" t="str">
        <f t="shared" si="1"/>
        <v>Revisar</v>
      </c>
    </row>
    <row r="501">
      <c r="A501" s="8"/>
      <c r="B501" s="9"/>
      <c r="C501" s="10"/>
      <c r="D501" s="11" t="str">
        <f>IFERROR((VLOOKUP(B501, Roccia!$B$2:$D997, 3, FALSE)*(1+Datos!$E$2)), "Revisar")</f>
        <v>Revisar</v>
      </c>
      <c r="E501" s="11" t="str">
        <f>IFERROR(D501*Datos!$B$3, "Revisar")</f>
        <v>Revisar</v>
      </c>
      <c r="F501" s="12" t="str">
        <f>IFERROR(E501*Datos!$B$1, "Revisar")</f>
        <v>Revisar</v>
      </c>
      <c r="G501" s="13" t="str">
        <f>IFERROR((VLOOKUP(B501, Roccia!$B$2:$D997, 3, FALSE) /(1-Datos!$E$1)), "Revisar")</f>
        <v>Revisar</v>
      </c>
      <c r="H501" s="13" t="str">
        <f>IFERROR(G501*Datos!$B$3, "Revisar")</f>
        <v>Revisar</v>
      </c>
      <c r="I501" s="13" t="str">
        <f t="shared" si="1"/>
        <v>Revisar</v>
      </c>
    </row>
    <row r="502">
      <c r="A502" s="8"/>
      <c r="B502" s="9"/>
      <c r="C502" s="10"/>
      <c r="D502" s="11" t="str">
        <f>IFERROR((VLOOKUP(B502, Roccia!$B$2:$D997, 3, FALSE)*(1+Datos!$E$2)), "Revisar")</f>
        <v>Revisar</v>
      </c>
      <c r="E502" s="11" t="str">
        <f>IFERROR(D502*Datos!$B$3, "Revisar")</f>
        <v>Revisar</v>
      </c>
      <c r="F502" s="12" t="str">
        <f>IFERROR(E502*Datos!$B$1, "Revisar")</f>
        <v>Revisar</v>
      </c>
      <c r="G502" s="13" t="str">
        <f>IFERROR((VLOOKUP(B502, Roccia!$B$2:$D997, 3, FALSE) /(1-Datos!$E$1)), "Revisar")</f>
        <v>Revisar</v>
      </c>
      <c r="H502" s="13" t="str">
        <f>IFERROR(G502*Datos!$B$3, "Revisar")</f>
        <v>Revisar</v>
      </c>
      <c r="I502" s="13" t="str">
        <f t="shared" si="1"/>
        <v>Revisar</v>
      </c>
    </row>
    <row r="503">
      <c r="A503" s="8"/>
      <c r="B503" s="9"/>
      <c r="C503" s="10"/>
      <c r="D503" s="11" t="str">
        <f>IFERROR((VLOOKUP(B503, Roccia!$B$2:$D997, 3, FALSE)*(1+Datos!$E$2)), "Revisar")</f>
        <v>Revisar</v>
      </c>
      <c r="E503" s="11" t="str">
        <f>IFERROR(D503*Datos!$B$3, "Revisar")</f>
        <v>Revisar</v>
      </c>
      <c r="F503" s="12" t="str">
        <f>IFERROR(E503*Datos!$B$1, "Revisar")</f>
        <v>Revisar</v>
      </c>
      <c r="G503" s="13" t="str">
        <f>IFERROR((VLOOKUP(B503, Roccia!$B$2:$D997, 3, FALSE) /(1-Datos!$E$1)), "Revisar")</f>
        <v>Revisar</v>
      </c>
      <c r="H503" s="13" t="str">
        <f>IFERROR(G503*Datos!$B$3, "Revisar")</f>
        <v>Revisar</v>
      </c>
      <c r="I503" s="13" t="str">
        <f t="shared" si="1"/>
        <v>Revisar</v>
      </c>
    </row>
    <row r="504">
      <c r="A504" s="8"/>
      <c r="B504" s="9"/>
      <c r="C504" s="10"/>
      <c r="D504" s="11" t="str">
        <f>IFERROR((VLOOKUP(B504, Roccia!$B$2:$D997, 3, FALSE)*(1+Datos!$E$2)), "Revisar")</f>
        <v>Revisar</v>
      </c>
      <c r="E504" s="11" t="str">
        <f>IFERROR(D504*Datos!$B$3, "Revisar")</f>
        <v>Revisar</v>
      </c>
      <c r="F504" s="12" t="str">
        <f>IFERROR(E504*Datos!$B$1, "Revisar")</f>
        <v>Revisar</v>
      </c>
      <c r="G504" s="13" t="str">
        <f>IFERROR((VLOOKUP(B504, Roccia!$B$2:$D997, 3, FALSE) /(1-Datos!$E$1)), "Revisar")</f>
        <v>Revisar</v>
      </c>
      <c r="H504" s="13" t="str">
        <f>IFERROR(G504*Datos!$B$3, "Revisar")</f>
        <v>Revisar</v>
      </c>
      <c r="I504" s="13" t="str">
        <f t="shared" si="1"/>
        <v>Revisar</v>
      </c>
    </row>
    <row r="505">
      <c r="A505" s="8"/>
      <c r="B505" s="9"/>
      <c r="C505" s="10"/>
      <c r="D505" s="11" t="str">
        <f>IFERROR((VLOOKUP(B505, Roccia!$B$2:$D997, 3, FALSE)*(1+Datos!$E$2)), "Revisar")</f>
        <v>Revisar</v>
      </c>
      <c r="E505" s="11" t="str">
        <f>IFERROR(D505*Datos!$B$3, "Revisar")</f>
        <v>Revisar</v>
      </c>
      <c r="F505" s="12" t="str">
        <f>IFERROR(E505*Datos!$B$1, "Revisar")</f>
        <v>Revisar</v>
      </c>
      <c r="G505" s="13" t="str">
        <f>IFERROR((VLOOKUP(B505, Roccia!$B$2:$D997, 3, FALSE) /(1-Datos!$E$1)), "Revisar")</f>
        <v>Revisar</v>
      </c>
      <c r="H505" s="13" t="str">
        <f>IFERROR(G505*Datos!$B$3, "Revisar")</f>
        <v>Revisar</v>
      </c>
      <c r="I505" s="13" t="str">
        <f t="shared" si="1"/>
        <v>Revisar</v>
      </c>
    </row>
    <row r="506">
      <c r="A506" s="8"/>
      <c r="B506" s="9"/>
      <c r="C506" s="10"/>
      <c r="D506" s="11" t="str">
        <f>IFERROR((VLOOKUP(B506, Roccia!$B$2:$D997, 3, FALSE)*(1+Datos!$E$2)), "Revisar")</f>
        <v>Revisar</v>
      </c>
      <c r="E506" s="11" t="str">
        <f>IFERROR(D506*Datos!$B$3, "Revisar")</f>
        <v>Revisar</v>
      </c>
      <c r="F506" s="12" t="str">
        <f>IFERROR(E506*Datos!$B$1, "Revisar")</f>
        <v>Revisar</v>
      </c>
      <c r="G506" s="13" t="str">
        <f>IFERROR((VLOOKUP(B506, Roccia!$B$2:$D997, 3, FALSE) /(1-Datos!$E$1)), "Revisar")</f>
        <v>Revisar</v>
      </c>
      <c r="H506" s="13" t="str">
        <f>IFERROR(G506*Datos!$B$3, "Revisar")</f>
        <v>Revisar</v>
      </c>
      <c r="I506" s="13" t="str">
        <f t="shared" si="1"/>
        <v>Revisar</v>
      </c>
    </row>
    <row r="507">
      <c r="A507" s="8"/>
      <c r="B507" s="9"/>
      <c r="C507" s="10"/>
      <c r="D507" s="11" t="str">
        <f>IFERROR((VLOOKUP(B507, Roccia!$B$2:$D997, 3, FALSE)*(1+Datos!$E$2)), "Revisar")</f>
        <v>Revisar</v>
      </c>
      <c r="E507" s="11" t="str">
        <f>IFERROR(D507*Datos!$B$3, "Revisar")</f>
        <v>Revisar</v>
      </c>
      <c r="F507" s="12" t="str">
        <f>IFERROR(E507*Datos!$B$1, "Revisar")</f>
        <v>Revisar</v>
      </c>
      <c r="G507" s="13" t="str">
        <f>IFERROR((VLOOKUP(B507, Roccia!$B$2:$D997, 3, FALSE) /(1-Datos!$E$1)), "Revisar")</f>
        <v>Revisar</v>
      </c>
      <c r="H507" s="13" t="str">
        <f>IFERROR(G507*Datos!$B$3, "Revisar")</f>
        <v>Revisar</v>
      </c>
      <c r="I507" s="13" t="str">
        <f t="shared" si="1"/>
        <v>Revisar</v>
      </c>
    </row>
    <row r="508">
      <c r="A508" s="8"/>
      <c r="B508" s="9"/>
      <c r="C508" s="10"/>
      <c r="D508" s="11" t="str">
        <f>IFERROR((VLOOKUP(B508, Roccia!$B$2:$D997, 3, FALSE)*(1+Datos!$E$2)), "Revisar")</f>
        <v>Revisar</v>
      </c>
      <c r="E508" s="11" t="str">
        <f>IFERROR(D508*Datos!$B$3, "Revisar")</f>
        <v>Revisar</v>
      </c>
      <c r="F508" s="12" t="str">
        <f>IFERROR(E508*Datos!$B$1, "Revisar")</f>
        <v>Revisar</v>
      </c>
      <c r="G508" s="13" t="str">
        <f>IFERROR((VLOOKUP(B508, Roccia!$B$2:$D997, 3, FALSE) /(1-Datos!$E$1)), "Revisar")</f>
        <v>Revisar</v>
      </c>
      <c r="H508" s="13" t="str">
        <f>IFERROR(G508*Datos!$B$3, "Revisar")</f>
        <v>Revisar</v>
      </c>
      <c r="I508" s="13" t="str">
        <f t="shared" si="1"/>
        <v>Revisar</v>
      </c>
    </row>
    <row r="509">
      <c r="A509" s="8"/>
      <c r="B509" s="9"/>
      <c r="C509" s="10"/>
      <c r="D509" s="11" t="str">
        <f>IFERROR((VLOOKUP(B509, Roccia!$B$2:$D997, 3, FALSE)*(1+Datos!$E$2)), "Revisar")</f>
        <v>Revisar</v>
      </c>
      <c r="E509" s="11" t="str">
        <f>IFERROR(D509*Datos!$B$3, "Revisar")</f>
        <v>Revisar</v>
      </c>
      <c r="F509" s="12" t="str">
        <f>IFERROR(E509*Datos!$B$1, "Revisar")</f>
        <v>Revisar</v>
      </c>
      <c r="G509" s="13" t="str">
        <f>IFERROR((VLOOKUP(B509, Roccia!$B$2:$D997, 3, FALSE) /(1-Datos!$E$1)), "Revisar")</f>
        <v>Revisar</v>
      </c>
      <c r="H509" s="13" t="str">
        <f>IFERROR(G509*Datos!$B$3, "Revisar")</f>
        <v>Revisar</v>
      </c>
      <c r="I509" s="13" t="str">
        <f t="shared" si="1"/>
        <v>Revisar</v>
      </c>
    </row>
    <row r="510">
      <c r="A510" s="8"/>
      <c r="B510" s="9"/>
      <c r="C510" s="10"/>
      <c r="D510" s="11" t="str">
        <f>IFERROR((VLOOKUP(B510, Roccia!$B$2:$D997, 3, FALSE)*(1+Datos!$E$2)), "Revisar")</f>
        <v>Revisar</v>
      </c>
      <c r="E510" s="11" t="str">
        <f>IFERROR(D510*Datos!$B$3, "Revisar")</f>
        <v>Revisar</v>
      </c>
      <c r="F510" s="12" t="str">
        <f>IFERROR(E510*Datos!$B$1, "Revisar")</f>
        <v>Revisar</v>
      </c>
      <c r="G510" s="13" t="str">
        <f>IFERROR((VLOOKUP(B510, Roccia!$B$2:$D997, 3, FALSE) /(1-Datos!$E$1)), "Revisar")</f>
        <v>Revisar</v>
      </c>
      <c r="H510" s="13" t="str">
        <f>IFERROR(G510*Datos!$B$3, "Revisar")</f>
        <v>Revisar</v>
      </c>
      <c r="I510" s="13" t="str">
        <f t="shared" si="1"/>
        <v>Revisar</v>
      </c>
    </row>
    <row r="511">
      <c r="A511" s="8"/>
      <c r="B511" s="9"/>
      <c r="C511" s="10"/>
      <c r="D511" s="11" t="str">
        <f>IFERROR((VLOOKUP(B511, Roccia!$B$2:$D997, 3, FALSE)*(1+Datos!$E$2)), "Revisar")</f>
        <v>Revisar</v>
      </c>
      <c r="E511" s="11" t="str">
        <f>IFERROR(D511*Datos!$B$3, "Revisar")</f>
        <v>Revisar</v>
      </c>
      <c r="F511" s="12" t="str">
        <f>IFERROR(E511*Datos!$B$1, "Revisar")</f>
        <v>Revisar</v>
      </c>
      <c r="G511" s="13" t="str">
        <f>IFERROR((VLOOKUP(B511, Roccia!$B$2:$D997, 3, FALSE) /(1-Datos!$E$1)), "Revisar")</f>
        <v>Revisar</v>
      </c>
      <c r="H511" s="13" t="str">
        <f>IFERROR(G511*Datos!$B$3, "Revisar")</f>
        <v>Revisar</v>
      </c>
      <c r="I511" s="13" t="str">
        <f t="shared" si="1"/>
        <v>Revisar</v>
      </c>
    </row>
    <row r="512">
      <c r="A512" s="8"/>
      <c r="B512" s="9"/>
      <c r="C512" s="10"/>
      <c r="D512" s="11" t="str">
        <f>IFERROR((VLOOKUP(B512, Roccia!$B$2:$D997, 3, FALSE)*(1+Datos!$E$2)), "Revisar")</f>
        <v>Revisar</v>
      </c>
      <c r="E512" s="11" t="str">
        <f>IFERROR(D512*Datos!$B$3, "Revisar")</f>
        <v>Revisar</v>
      </c>
      <c r="F512" s="12" t="str">
        <f>IFERROR(E512*Datos!$B$1, "Revisar")</f>
        <v>Revisar</v>
      </c>
      <c r="G512" s="13" t="str">
        <f>IFERROR((VLOOKUP(B512, Roccia!$B$2:$D997, 3, FALSE) /(1-Datos!$E$1)), "Revisar")</f>
        <v>Revisar</v>
      </c>
      <c r="H512" s="13" t="str">
        <f>IFERROR(G512*Datos!$B$3, "Revisar")</f>
        <v>Revisar</v>
      </c>
      <c r="I512" s="13" t="str">
        <f t="shared" si="1"/>
        <v>Revisar</v>
      </c>
    </row>
    <row r="513">
      <c r="A513" s="8"/>
      <c r="B513" s="9"/>
      <c r="C513" s="10"/>
      <c r="D513" s="11" t="str">
        <f>IFERROR((VLOOKUP(B513, Roccia!$B$2:$D997, 3, FALSE)*(1+Datos!$E$2)), "Revisar")</f>
        <v>Revisar</v>
      </c>
      <c r="E513" s="11" t="str">
        <f>IFERROR(D513*Datos!$B$3, "Revisar")</f>
        <v>Revisar</v>
      </c>
      <c r="F513" s="12" t="str">
        <f>IFERROR(E513*Datos!$B$1, "Revisar")</f>
        <v>Revisar</v>
      </c>
      <c r="G513" s="13" t="str">
        <f>IFERROR((VLOOKUP(B513, Roccia!$B$2:$D997, 3, FALSE) /(1-Datos!$E$1)), "Revisar")</f>
        <v>Revisar</v>
      </c>
      <c r="H513" s="13" t="str">
        <f>IFERROR(G513*Datos!$B$3, "Revisar")</f>
        <v>Revisar</v>
      </c>
      <c r="I513" s="13" t="str">
        <f t="shared" si="1"/>
        <v>Revisar</v>
      </c>
    </row>
    <row r="514">
      <c r="A514" s="8"/>
      <c r="B514" s="9"/>
      <c r="C514" s="10"/>
      <c r="D514" s="11" t="str">
        <f>IFERROR((VLOOKUP(B514, Roccia!$B$2:$D997, 3, FALSE)*(1+Datos!$E$2)), "Revisar")</f>
        <v>Revisar</v>
      </c>
      <c r="E514" s="11" t="str">
        <f>IFERROR(D514*Datos!$B$3, "Revisar")</f>
        <v>Revisar</v>
      </c>
      <c r="F514" s="12" t="str">
        <f>IFERROR(E514*Datos!$B$1, "Revisar")</f>
        <v>Revisar</v>
      </c>
      <c r="G514" s="13" t="str">
        <f>IFERROR((VLOOKUP(B514, Roccia!$B$2:$D997, 3, FALSE) /(1-Datos!$E$1)), "Revisar")</f>
        <v>Revisar</v>
      </c>
      <c r="H514" s="13" t="str">
        <f>IFERROR(G514*Datos!$B$3, "Revisar")</f>
        <v>Revisar</v>
      </c>
      <c r="I514" s="13" t="str">
        <f t="shared" si="1"/>
        <v>Revisar</v>
      </c>
    </row>
    <row r="515">
      <c r="A515" s="8"/>
      <c r="B515" s="9"/>
      <c r="C515" s="10"/>
      <c r="D515" s="11" t="str">
        <f>IFERROR((VLOOKUP(B515, Roccia!$B$2:$D997, 3, FALSE)*(1+Datos!$E$2)), "Revisar")</f>
        <v>Revisar</v>
      </c>
      <c r="E515" s="11" t="str">
        <f>IFERROR(D515*Datos!$B$3, "Revisar")</f>
        <v>Revisar</v>
      </c>
      <c r="F515" s="12" t="str">
        <f>IFERROR(E515*Datos!$B$1, "Revisar")</f>
        <v>Revisar</v>
      </c>
      <c r="G515" s="13" t="str">
        <f>IFERROR((VLOOKUP(B515, Roccia!$B$2:$D997, 3, FALSE) /(1-Datos!$E$1)), "Revisar")</f>
        <v>Revisar</v>
      </c>
      <c r="H515" s="13" t="str">
        <f>IFERROR(G515*Datos!$B$3, "Revisar")</f>
        <v>Revisar</v>
      </c>
      <c r="I515" s="13" t="str">
        <f t="shared" si="1"/>
        <v>Revisar</v>
      </c>
    </row>
    <row r="516">
      <c r="A516" s="8"/>
      <c r="B516" s="9"/>
      <c r="C516" s="10"/>
      <c r="D516" s="11" t="str">
        <f>IFERROR((VLOOKUP(B516, Roccia!$B$2:$D997, 3, FALSE)*(1+Datos!$E$2)), "Revisar")</f>
        <v>Revisar</v>
      </c>
      <c r="E516" s="11" t="str">
        <f>IFERROR(D516*Datos!$B$3, "Revisar")</f>
        <v>Revisar</v>
      </c>
      <c r="F516" s="12" t="str">
        <f>IFERROR(E516*Datos!$B$1, "Revisar")</f>
        <v>Revisar</v>
      </c>
      <c r="G516" s="13" t="str">
        <f>IFERROR((VLOOKUP(B516, Roccia!$B$2:$D997, 3, FALSE) /(1-Datos!$E$1)), "Revisar")</f>
        <v>Revisar</v>
      </c>
      <c r="H516" s="13" t="str">
        <f>IFERROR(G516*Datos!$B$3, "Revisar")</f>
        <v>Revisar</v>
      </c>
      <c r="I516" s="13" t="str">
        <f t="shared" si="1"/>
        <v>Revisar</v>
      </c>
    </row>
    <row r="517">
      <c r="A517" s="8"/>
      <c r="B517" s="9"/>
      <c r="C517" s="10"/>
      <c r="D517" s="11" t="str">
        <f>IFERROR((VLOOKUP(B517, Roccia!$B$2:$D997, 3, FALSE)*(1+Datos!$E$2)), "Revisar")</f>
        <v>Revisar</v>
      </c>
      <c r="E517" s="11" t="str">
        <f>IFERROR(D517*Datos!$B$3, "Revisar")</f>
        <v>Revisar</v>
      </c>
      <c r="F517" s="12" t="str">
        <f>IFERROR(E517*Datos!$B$1, "Revisar")</f>
        <v>Revisar</v>
      </c>
      <c r="G517" s="13" t="str">
        <f>IFERROR((VLOOKUP(B517, Roccia!$B$2:$D997, 3, FALSE) /(1-Datos!$E$1)), "Revisar")</f>
        <v>Revisar</v>
      </c>
      <c r="H517" s="13" t="str">
        <f>IFERROR(G517*Datos!$B$3, "Revisar")</f>
        <v>Revisar</v>
      </c>
      <c r="I517" s="13" t="str">
        <f t="shared" si="1"/>
        <v>Revisar</v>
      </c>
    </row>
    <row r="518">
      <c r="A518" s="16"/>
      <c r="B518" s="17"/>
      <c r="C518" s="18"/>
      <c r="D518" s="11"/>
      <c r="E518" s="11"/>
      <c r="F518" s="12"/>
      <c r="G518" s="13"/>
      <c r="H518" s="13"/>
      <c r="I518" s="13"/>
    </row>
    <row r="519">
      <c r="A519" s="16"/>
      <c r="B519" s="17"/>
      <c r="C519" s="18"/>
      <c r="D519" s="11"/>
      <c r="E519" s="11"/>
      <c r="F519" s="12"/>
      <c r="G519" s="13"/>
      <c r="H519" s="13"/>
      <c r="I519" s="13"/>
    </row>
    <row r="520">
      <c r="A520" s="16"/>
      <c r="B520" s="17"/>
      <c r="C520" s="18"/>
      <c r="D520" s="11"/>
      <c r="E520" s="11"/>
      <c r="F520" s="12"/>
      <c r="G520" s="13"/>
      <c r="H520" s="13"/>
      <c r="I520" s="13"/>
    </row>
    <row r="521">
      <c r="A521" s="16"/>
      <c r="B521" s="17"/>
      <c r="C521" s="18"/>
      <c r="D521" s="11"/>
      <c r="E521" s="11"/>
      <c r="F521" s="12"/>
      <c r="G521" s="13"/>
      <c r="H521" s="13"/>
      <c r="I521" s="13"/>
    </row>
    <row r="522">
      <c r="A522" s="16"/>
      <c r="B522" s="17"/>
      <c r="C522" s="18"/>
      <c r="D522" s="11"/>
      <c r="E522" s="11"/>
      <c r="F522" s="12"/>
      <c r="G522" s="13"/>
      <c r="H522" s="13"/>
      <c r="I522" s="13"/>
    </row>
    <row r="523">
      <c r="A523" s="16"/>
      <c r="B523" s="17"/>
      <c r="C523" s="18"/>
      <c r="D523" s="11"/>
      <c r="E523" s="11"/>
      <c r="F523" s="12"/>
      <c r="G523" s="13"/>
      <c r="H523" s="13"/>
      <c r="I523" s="13"/>
    </row>
    <row r="524">
      <c r="A524" s="16"/>
      <c r="B524" s="17"/>
      <c r="C524" s="18"/>
      <c r="D524" s="11"/>
      <c r="E524" s="11"/>
      <c r="F524" s="12"/>
      <c r="G524" s="13"/>
      <c r="H524" s="13"/>
      <c r="I524" s="13"/>
    </row>
    <row r="525">
      <c r="A525" s="16"/>
      <c r="B525" s="17"/>
      <c r="C525" s="18"/>
      <c r="D525" s="11"/>
      <c r="E525" s="11"/>
      <c r="F525" s="12"/>
      <c r="G525" s="13"/>
      <c r="H525" s="13"/>
      <c r="I525" s="13"/>
    </row>
    <row r="526">
      <c r="A526" s="16"/>
      <c r="B526" s="17"/>
      <c r="C526" s="18"/>
      <c r="D526" s="11"/>
      <c r="E526" s="11"/>
      <c r="F526" s="12"/>
      <c r="G526" s="13"/>
      <c r="H526" s="13"/>
      <c r="I526" s="13"/>
    </row>
    <row r="527">
      <c r="A527" s="16"/>
      <c r="B527" s="17"/>
      <c r="C527" s="18"/>
      <c r="D527" s="11"/>
      <c r="E527" s="11"/>
      <c r="F527" s="12"/>
      <c r="G527" s="13"/>
      <c r="H527" s="13"/>
      <c r="I527" s="13"/>
    </row>
    <row r="528">
      <c r="A528" s="16"/>
      <c r="B528" s="17"/>
      <c r="C528" s="18"/>
      <c r="D528" s="11"/>
      <c r="E528" s="11"/>
      <c r="F528" s="12"/>
      <c r="G528" s="13"/>
      <c r="H528" s="13"/>
      <c r="I528" s="13"/>
    </row>
    <row r="529">
      <c r="A529" s="16"/>
      <c r="B529" s="17"/>
      <c r="C529" s="18"/>
      <c r="D529" s="11"/>
      <c r="E529" s="11"/>
      <c r="F529" s="12"/>
      <c r="G529" s="13"/>
      <c r="H529" s="13"/>
      <c r="I529" s="13"/>
    </row>
    <row r="530">
      <c r="A530" s="16"/>
      <c r="B530" s="17"/>
      <c r="C530" s="18"/>
      <c r="D530" s="11"/>
      <c r="E530" s="11"/>
      <c r="F530" s="12"/>
      <c r="G530" s="13"/>
      <c r="H530" s="13"/>
      <c r="I530" s="13"/>
    </row>
    <row r="531">
      <c r="A531" s="16"/>
      <c r="B531" s="17"/>
      <c r="C531" s="18"/>
      <c r="D531" s="11"/>
      <c r="E531" s="11"/>
      <c r="F531" s="12"/>
      <c r="G531" s="13"/>
      <c r="H531" s="13"/>
      <c r="I531" s="13"/>
    </row>
    <row r="532">
      <c r="A532" s="16"/>
      <c r="B532" s="17"/>
      <c r="C532" s="18"/>
      <c r="D532" s="11"/>
      <c r="E532" s="11"/>
      <c r="F532" s="12"/>
      <c r="G532" s="13"/>
      <c r="H532" s="13"/>
      <c r="I532" s="13"/>
    </row>
    <row r="533">
      <c r="A533" s="16"/>
      <c r="B533" s="17"/>
      <c r="C533" s="18"/>
      <c r="D533" s="11"/>
      <c r="E533" s="11"/>
      <c r="F533" s="12"/>
      <c r="G533" s="13"/>
      <c r="H533" s="13"/>
      <c r="I533" s="13"/>
    </row>
    <row r="534">
      <c r="A534" s="16"/>
      <c r="B534" s="17"/>
      <c r="C534" s="18"/>
      <c r="D534" s="11"/>
      <c r="E534" s="11"/>
      <c r="F534" s="12"/>
      <c r="G534" s="13"/>
      <c r="H534" s="13"/>
      <c r="I534" s="13"/>
    </row>
    <row r="535">
      <c r="A535" s="16"/>
      <c r="B535" s="17"/>
      <c r="C535" s="18"/>
      <c r="D535" s="11"/>
      <c r="E535" s="11"/>
      <c r="F535" s="12"/>
      <c r="G535" s="13"/>
      <c r="H535" s="13"/>
      <c r="I535" s="13"/>
    </row>
    <row r="536">
      <c r="A536" s="16"/>
      <c r="B536" s="17"/>
      <c r="C536" s="18"/>
      <c r="D536" s="11"/>
      <c r="E536" s="11"/>
      <c r="F536" s="12"/>
      <c r="G536" s="13"/>
      <c r="H536" s="13"/>
      <c r="I536" s="13"/>
    </row>
    <row r="537">
      <c r="A537" s="16"/>
      <c r="B537" s="17"/>
      <c r="C537" s="18"/>
      <c r="D537" s="11"/>
      <c r="E537" s="11"/>
      <c r="F537" s="12"/>
      <c r="G537" s="13"/>
      <c r="H537" s="13"/>
      <c r="I537" s="13"/>
    </row>
    <row r="538">
      <c r="A538" s="16"/>
      <c r="B538" s="17"/>
      <c r="C538" s="18"/>
      <c r="D538" s="11"/>
      <c r="E538" s="11"/>
      <c r="F538" s="12"/>
      <c r="G538" s="13"/>
      <c r="H538" s="13"/>
      <c r="I538" s="13"/>
    </row>
    <row r="539">
      <c r="A539" s="16"/>
      <c r="B539" s="17"/>
      <c r="C539" s="18"/>
      <c r="D539" s="11"/>
      <c r="E539" s="11"/>
      <c r="F539" s="12"/>
      <c r="G539" s="13"/>
      <c r="H539" s="13"/>
      <c r="I539" s="13"/>
    </row>
    <row r="540">
      <c r="A540" s="16"/>
      <c r="B540" s="17"/>
      <c r="C540" s="18"/>
      <c r="D540" s="11"/>
      <c r="E540" s="11"/>
      <c r="F540" s="12"/>
      <c r="G540" s="13"/>
      <c r="H540" s="13"/>
      <c r="I540" s="13"/>
    </row>
    <row r="541">
      <c r="A541" s="16"/>
      <c r="B541" s="17"/>
      <c r="C541" s="18"/>
      <c r="D541" s="11"/>
      <c r="E541" s="11"/>
      <c r="F541" s="12"/>
      <c r="G541" s="13"/>
      <c r="H541" s="13"/>
      <c r="I541" s="13"/>
    </row>
    <row r="542">
      <c r="A542" s="16"/>
      <c r="B542" s="17"/>
      <c r="C542" s="18"/>
      <c r="D542" s="11"/>
      <c r="E542" s="11"/>
      <c r="F542" s="12"/>
      <c r="G542" s="13"/>
      <c r="H542" s="13"/>
      <c r="I542" s="13"/>
    </row>
    <row r="543">
      <c r="A543" s="16"/>
      <c r="B543" s="17"/>
      <c r="C543" s="18"/>
      <c r="D543" s="11"/>
      <c r="E543" s="11"/>
      <c r="F543" s="12"/>
      <c r="G543" s="13"/>
      <c r="H543" s="13"/>
      <c r="I543" s="13"/>
    </row>
    <row r="544">
      <c r="A544" s="16"/>
      <c r="B544" s="17"/>
      <c r="C544" s="18"/>
      <c r="D544" s="11"/>
      <c r="E544" s="11"/>
      <c r="F544" s="12"/>
      <c r="G544" s="13"/>
      <c r="H544" s="13"/>
      <c r="I544" s="13"/>
    </row>
    <row r="545">
      <c r="A545" s="16"/>
      <c r="B545" s="17"/>
      <c r="C545" s="18"/>
      <c r="D545" s="11"/>
      <c r="E545" s="11"/>
      <c r="F545" s="12"/>
      <c r="G545" s="13"/>
      <c r="H545" s="13"/>
      <c r="I545" s="13"/>
    </row>
    <row r="546">
      <c r="A546" s="16"/>
      <c r="B546" s="17"/>
      <c r="C546" s="18"/>
      <c r="D546" s="11"/>
      <c r="E546" s="11"/>
      <c r="F546" s="12"/>
      <c r="G546" s="13"/>
      <c r="H546" s="13"/>
      <c r="I546" s="13"/>
    </row>
    <row r="547">
      <c r="A547" s="16"/>
      <c r="B547" s="17"/>
      <c r="C547" s="18"/>
      <c r="D547" s="11"/>
      <c r="E547" s="11"/>
      <c r="F547" s="12"/>
      <c r="G547" s="13"/>
      <c r="H547" s="13"/>
      <c r="I547" s="13"/>
    </row>
    <row r="548">
      <c r="A548" s="16"/>
      <c r="B548" s="17"/>
      <c r="C548" s="18"/>
      <c r="D548" s="11"/>
      <c r="E548" s="11"/>
      <c r="F548" s="12"/>
      <c r="G548" s="13"/>
      <c r="H548" s="13"/>
      <c r="I548" s="13"/>
    </row>
    <row r="549">
      <c r="A549" s="16"/>
      <c r="B549" s="17"/>
      <c r="C549" s="18"/>
      <c r="D549" s="11"/>
      <c r="E549" s="11"/>
      <c r="F549" s="12"/>
      <c r="G549" s="13"/>
      <c r="H549" s="13"/>
      <c r="I549" s="13"/>
    </row>
    <row r="550">
      <c r="A550" s="16"/>
      <c r="B550" s="17"/>
      <c r="C550" s="18"/>
      <c r="D550" s="11"/>
      <c r="E550" s="11"/>
      <c r="F550" s="12"/>
      <c r="G550" s="13"/>
      <c r="H550" s="13"/>
      <c r="I550" s="13"/>
    </row>
    <row r="551">
      <c r="A551" s="16"/>
      <c r="B551" s="17"/>
      <c r="C551" s="18"/>
      <c r="D551" s="11"/>
      <c r="E551" s="11"/>
      <c r="F551" s="12"/>
      <c r="G551" s="13"/>
      <c r="H551" s="13"/>
      <c r="I551" s="13"/>
    </row>
    <row r="552">
      <c r="A552" s="16"/>
      <c r="B552" s="17"/>
      <c r="C552" s="18"/>
      <c r="D552" s="11"/>
      <c r="E552" s="11"/>
      <c r="F552" s="12"/>
      <c r="G552" s="13"/>
      <c r="H552" s="13"/>
      <c r="I552" s="13"/>
    </row>
    <row r="553">
      <c r="A553" s="16"/>
      <c r="B553" s="17"/>
      <c r="C553" s="18"/>
      <c r="D553" s="11"/>
      <c r="E553" s="11"/>
      <c r="F553" s="12"/>
      <c r="G553" s="13"/>
      <c r="H553" s="13"/>
      <c r="I553" s="13"/>
    </row>
    <row r="554">
      <c r="A554" s="16"/>
      <c r="B554" s="17"/>
      <c r="C554" s="18"/>
      <c r="D554" s="11"/>
      <c r="E554" s="11"/>
      <c r="F554" s="12"/>
      <c r="G554" s="13"/>
      <c r="H554" s="13"/>
      <c r="I554" s="13"/>
    </row>
    <row r="555">
      <c r="A555" s="16"/>
      <c r="B555" s="17"/>
      <c r="C555" s="18"/>
      <c r="D555" s="11"/>
      <c r="E555" s="11"/>
      <c r="F555" s="12"/>
      <c r="G555" s="13"/>
      <c r="H555" s="13"/>
      <c r="I555" s="13"/>
    </row>
    <row r="556">
      <c r="A556" s="16"/>
      <c r="B556" s="17"/>
      <c r="C556" s="18"/>
      <c r="D556" s="11"/>
      <c r="E556" s="11"/>
      <c r="F556" s="12"/>
      <c r="G556" s="13"/>
      <c r="H556" s="13"/>
      <c r="I556" s="13"/>
    </row>
    <row r="557">
      <c r="A557" s="16"/>
      <c r="B557" s="17"/>
      <c r="C557" s="18"/>
      <c r="D557" s="11"/>
      <c r="E557" s="11"/>
      <c r="F557" s="12"/>
      <c r="G557" s="13"/>
      <c r="H557" s="13"/>
      <c r="I557" s="13"/>
    </row>
    <row r="558">
      <c r="A558" s="16"/>
      <c r="B558" s="17"/>
      <c r="C558" s="18"/>
      <c r="D558" s="11"/>
      <c r="E558" s="11"/>
      <c r="F558" s="12"/>
      <c r="G558" s="13"/>
      <c r="H558" s="13"/>
      <c r="I558" s="13"/>
    </row>
    <row r="559">
      <c r="A559" s="16"/>
      <c r="B559" s="17"/>
      <c r="C559" s="18"/>
      <c r="D559" s="11"/>
      <c r="E559" s="11"/>
      <c r="F559" s="12"/>
      <c r="G559" s="13"/>
      <c r="H559" s="13"/>
      <c r="I559" s="13"/>
    </row>
    <row r="560">
      <c r="A560" s="16"/>
      <c r="B560" s="17"/>
      <c r="C560" s="18"/>
      <c r="D560" s="11"/>
      <c r="E560" s="11"/>
      <c r="F560" s="12"/>
      <c r="G560" s="13"/>
      <c r="H560" s="13"/>
      <c r="I560" s="13"/>
    </row>
    <row r="561">
      <c r="A561" s="16"/>
      <c r="B561" s="17"/>
      <c r="C561" s="18"/>
      <c r="D561" s="11"/>
      <c r="E561" s="11"/>
      <c r="F561" s="12"/>
      <c r="G561" s="13"/>
      <c r="H561" s="13"/>
      <c r="I561" s="13"/>
    </row>
    <row r="562">
      <c r="A562" s="16"/>
      <c r="B562" s="17"/>
      <c r="C562" s="18"/>
      <c r="D562" s="11"/>
      <c r="E562" s="11"/>
      <c r="F562" s="12"/>
      <c r="G562" s="13"/>
      <c r="H562" s="13"/>
      <c r="I562" s="13"/>
    </row>
    <row r="563">
      <c r="A563" s="16"/>
      <c r="B563" s="17"/>
      <c r="C563" s="18"/>
      <c r="D563" s="11"/>
      <c r="E563" s="11"/>
      <c r="F563" s="12"/>
      <c r="G563" s="13"/>
      <c r="H563" s="13"/>
      <c r="I563" s="13"/>
    </row>
    <row r="564">
      <c r="A564" s="16"/>
      <c r="B564" s="17"/>
      <c r="C564" s="18"/>
      <c r="D564" s="11"/>
      <c r="E564" s="11"/>
      <c r="F564" s="12"/>
      <c r="G564" s="13"/>
      <c r="H564" s="13"/>
      <c r="I564" s="13"/>
    </row>
    <row r="565">
      <c r="A565" s="16"/>
      <c r="B565" s="17"/>
      <c r="C565" s="18"/>
      <c r="D565" s="11"/>
      <c r="E565" s="11"/>
      <c r="F565" s="12"/>
      <c r="G565" s="13"/>
      <c r="H565" s="13"/>
      <c r="I565" s="13"/>
    </row>
    <row r="566">
      <c r="A566" s="16"/>
      <c r="B566" s="17"/>
      <c r="C566" s="18"/>
      <c r="D566" s="11"/>
      <c r="E566" s="11"/>
      <c r="F566" s="12"/>
      <c r="G566" s="13"/>
      <c r="H566" s="13"/>
      <c r="I566" s="13"/>
    </row>
    <row r="567">
      <c r="A567" s="16"/>
      <c r="B567" s="17"/>
      <c r="C567" s="18"/>
      <c r="D567" s="11"/>
      <c r="E567" s="11"/>
      <c r="F567" s="12"/>
      <c r="G567" s="13"/>
      <c r="H567" s="13"/>
      <c r="I567" s="13"/>
    </row>
    <row r="568">
      <c r="A568" s="16"/>
      <c r="B568" s="17"/>
      <c r="C568" s="18"/>
      <c r="D568" s="11"/>
      <c r="E568" s="11"/>
      <c r="F568" s="12"/>
      <c r="G568" s="13"/>
      <c r="H568" s="13"/>
      <c r="I568" s="13"/>
    </row>
    <row r="569">
      <c r="A569" s="16"/>
      <c r="B569" s="17"/>
      <c r="C569" s="18"/>
      <c r="D569" s="11"/>
      <c r="E569" s="11"/>
      <c r="F569" s="12"/>
      <c r="G569" s="13"/>
      <c r="H569" s="13"/>
      <c r="I569" s="13"/>
    </row>
    <row r="570">
      <c r="A570" s="16"/>
      <c r="B570" s="17"/>
      <c r="C570" s="18"/>
      <c r="D570" s="11"/>
      <c r="E570" s="11"/>
      <c r="F570" s="12"/>
      <c r="G570" s="13"/>
      <c r="H570" s="13"/>
      <c r="I570" s="13"/>
    </row>
    <row r="571">
      <c r="A571" s="16"/>
      <c r="B571" s="17"/>
      <c r="C571" s="18"/>
      <c r="D571" s="11"/>
      <c r="E571" s="11"/>
      <c r="F571" s="12"/>
      <c r="G571" s="13"/>
      <c r="H571" s="13"/>
      <c r="I571" s="13"/>
    </row>
    <row r="572">
      <c r="A572" s="16"/>
      <c r="B572" s="17"/>
      <c r="C572" s="18"/>
      <c r="D572" s="11"/>
      <c r="E572" s="11"/>
      <c r="F572" s="12"/>
      <c r="G572" s="13"/>
      <c r="H572" s="13"/>
      <c r="I572" s="13"/>
    </row>
    <row r="573">
      <c r="A573" s="16"/>
      <c r="B573" s="17"/>
      <c r="C573" s="18"/>
      <c r="D573" s="11"/>
      <c r="E573" s="11"/>
      <c r="F573" s="12"/>
      <c r="G573" s="13"/>
      <c r="H573" s="13"/>
      <c r="I573" s="13"/>
    </row>
    <row r="574">
      <c r="A574" s="16"/>
      <c r="B574" s="17"/>
      <c r="C574" s="18"/>
      <c r="D574" s="11"/>
      <c r="E574" s="11"/>
      <c r="F574" s="12"/>
      <c r="G574" s="13"/>
      <c r="H574" s="13"/>
      <c r="I574" s="13"/>
    </row>
    <row r="575">
      <c r="A575" s="16"/>
      <c r="B575" s="17"/>
      <c r="C575" s="18"/>
      <c r="D575" s="11"/>
      <c r="E575" s="11"/>
      <c r="F575" s="12"/>
      <c r="G575" s="13"/>
      <c r="H575" s="13"/>
      <c r="I575" s="13"/>
    </row>
    <row r="576">
      <c r="A576" s="16"/>
      <c r="B576" s="17"/>
      <c r="C576" s="18"/>
      <c r="D576" s="11"/>
      <c r="E576" s="11"/>
      <c r="F576" s="12"/>
      <c r="G576" s="13"/>
      <c r="H576" s="13"/>
      <c r="I576" s="13"/>
    </row>
    <row r="577">
      <c r="A577" s="16"/>
      <c r="B577" s="17"/>
      <c r="C577" s="18"/>
      <c r="D577" s="11"/>
      <c r="E577" s="11"/>
      <c r="F577" s="12"/>
      <c r="G577" s="13"/>
      <c r="H577" s="13"/>
      <c r="I577" s="13"/>
    </row>
    <row r="578">
      <c r="A578" s="16"/>
      <c r="B578" s="17"/>
      <c r="C578" s="18"/>
      <c r="D578" s="11"/>
      <c r="E578" s="11"/>
      <c r="F578" s="12"/>
      <c r="G578" s="13"/>
      <c r="H578" s="13"/>
      <c r="I578" s="13"/>
    </row>
    <row r="579">
      <c r="A579" s="16"/>
      <c r="B579" s="17"/>
      <c r="C579" s="18"/>
      <c r="D579" s="11"/>
      <c r="E579" s="11"/>
      <c r="F579" s="12"/>
      <c r="G579" s="13"/>
      <c r="H579" s="13"/>
      <c r="I579" s="13"/>
    </row>
    <row r="580">
      <c r="A580" s="16"/>
      <c r="B580" s="17"/>
      <c r="C580" s="18"/>
      <c r="D580" s="11"/>
      <c r="E580" s="11"/>
      <c r="F580" s="12"/>
      <c r="G580" s="13"/>
      <c r="H580" s="13"/>
      <c r="I580" s="13"/>
    </row>
    <row r="581">
      <c r="A581" s="16"/>
      <c r="B581" s="17"/>
      <c r="C581" s="18"/>
      <c r="D581" s="11"/>
      <c r="E581" s="11"/>
      <c r="F581" s="12"/>
      <c r="G581" s="13"/>
      <c r="H581" s="13"/>
      <c r="I581" s="13"/>
    </row>
    <row r="582">
      <c r="A582" s="16"/>
      <c r="B582" s="17"/>
      <c r="C582" s="18"/>
      <c r="D582" s="11"/>
      <c r="E582" s="11"/>
      <c r="F582" s="12"/>
      <c r="G582" s="13"/>
      <c r="H582" s="13"/>
      <c r="I582" s="13"/>
    </row>
    <row r="583">
      <c r="A583" s="16"/>
      <c r="B583" s="17"/>
      <c r="C583" s="18"/>
      <c r="D583" s="11"/>
      <c r="E583" s="11"/>
      <c r="F583" s="12"/>
      <c r="G583" s="13"/>
      <c r="H583" s="13"/>
      <c r="I583" s="13"/>
    </row>
    <row r="584">
      <c r="A584" s="16"/>
      <c r="B584" s="17"/>
      <c r="C584" s="18"/>
      <c r="D584" s="11"/>
      <c r="E584" s="11"/>
      <c r="F584" s="12"/>
      <c r="G584" s="13"/>
      <c r="H584" s="13"/>
      <c r="I584" s="13"/>
    </row>
    <row r="585">
      <c r="A585" s="16"/>
      <c r="B585" s="17"/>
      <c r="C585" s="18"/>
      <c r="D585" s="11"/>
      <c r="E585" s="11"/>
      <c r="F585" s="12"/>
      <c r="G585" s="13"/>
      <c r="H585" s="13"/>
      <c r="I585" s="13"/>
    </row>
    <row r="586">
      <c r="A586" s="16"/>
      <c r="B586" s="17"/>
      <c r="C586" s="18"/>
      <c r="D586" s="11"/>
      <c r="E586" s="11"/>
      <c r="F586" s="12"/>
      <c r="G586" s="13"/>
      <c r="H586" s="13"/>
      <c r="I586" s="13"/>
    </row>
    <row r="587">
      <c r="A587" s="16"/>
      <c r="B587" s="17"/>
      <c r="C587" s="18"/>
      <c r="D587" s="11"/>
      <c r="E587" s="11"/>
      <c r="F587" s="12"/>
      <c r="G587" s="13"/>
      <c r="H587" s="13"/>
      <c r="I587" s="13"/>
    </row>
    <row r="588">
      <c r="A588" s="16"/>
      <c r="B588" s="17"/>
      <c r="C588" s="18"/>
      <c r="D588" s="11"/>
      <c r="E588" s="11"/>
      <c r="F588" s="12"/>
      <c r="G588" s="13"/>
      <c r="H588" s="13"/>
      <c r="I588" s="13"/>
    </row>
    <row r="589">
      <c r="A589" s="16"/>
      <c r="B589" s="17"/>
      <c r="C589" s="18"/>
      <c r="D589" s="11"/>
      <c r="E589" s="11"/>
      <c r="F589" s="12"/>
      <c r="G589" s="13"/>
      <c r="H589" s="13"/>
      <c r="I589" s="13"/>
    </row>
    <row r="590">
      <c r="A590" s="16"/>
      <c r="B590" s="17"/>
      <c r="C590" s="18"/>
      <c r="D590" s="11"/>
      <c r="E590" s="11"/>
      <c r="F590" s="12"/>
      <c r="G590" s="13"/>
      <c r="H590" s="13"/>
      <c r="I590" s="13"/>
    </row>
    <row r="591">
      <c r="A591" s="16"/>
      <c r="B591" s="17"/>
      <c r="C591" s="18"/>
      <c r="D591" s="11"/>
      <c r="E591" s="11"/>
      <c r="F591" s="12"/>
      <c r="G591" s="13"/>
      <c r="H591" s="13"/>
      <c r="I591" s="13"/>
    </row>
    <row r="592">
      <c r="A592" s="16"/>
      <c r="B592" s="17"/>
      <c r="C592" s="18"/>
      <c r="D592" s="11"/>
      <c r="E592" s="11"/>
      <c r="F592" s="12"/>
      <c r="G592" s="13"/>
      <c r="H592" s="13"/>
      <c r="I592" s="13"/>
    </row>
    <row r="593">
      <c r="A593" s="16"/>
      <c r="B593" s="17"/>
      <c r="C593" s="18"/>
      <c r="D593" s="11"/>
      <c r="E593" s="11"/>
      <c r="F593" s="12"/>
      <c r="G593" s="13"/>
      <c r="H593" s="13"/>
      <c r="I593" s="13"/>
    </row>
    <row r="594">
      <c r="A594" s="16"/>
      <c r="B594" s="17"/>
      <c r="C594" s="18"/>
      <c r="D594" s="11"/>
      <c r="E594" s="11"/>
      <c r="F594" s="12"/>
      <c r="G594" s="13"/>
      <c r="H594" s="13"/>
      <c r="I594" s="13"/>
    </row>
    <row r="595">
      <c r="A595" s="16"/>
      <c r="B595" s="17"/>
      <c r="C595" s="18"/>
      <c r="D595" s="11"/>
      <c r="E595" s="11"/>
      <c r="F595" s="12"/>
      <c r="G595" s="13"/>
      <c r="H595" s="13"/>
      <c r="I595" s="13"/>
    </row>
    <row r="596">
      <c r="A596" s="16"/>
      <c r="B596" s="17"/>
      <c r="C596" s="18"/>
      <c r="D596" s="11"/>
      <c r="E596" s="11"/>
      <c r="F596" s="12"/>
      <c r="G596" s="13"/>
      <c r="H596" s="13"/>
      <c r="I596" s="13"/>
    </row>
    <row r="597">
      <c r="A597" s="16"/>
      <c r="B597" s="17"/>
      <c r="C597" s="18"/>
      <c r="D597" s="11"/>
      <c r="E597" s="11"/>
      <c r="F597" s="12"/>
      <c r="G597" s="13"/>
      <c r="H597" s="13"/>
      <c r="I597" s="13"/>
    </row>
    <row r="598">
      <c r="A598" s="16"/>
      <c r="B598" s="17"/>
      <c r="C598" s="18"/>
      <c r="D598" s="11"/>
      <c r="E598" s="11"/>
      <c r="F598" s="12"/>
      <c r="G598" s="13"/>
      <c r="H598" s="13"/>
      <c r="I598" s="13"/>
    </row>
    <row r="599">
      <c r="A599" s="16"/>
      <c r="B599" s="17"/>
      <c r="C599" s="18"/>
      <c r="D599" s="11"/>
      <c r="E599" s="11"/>
      <c r="F599" s="12"/>
      <c r="G599" s="13"/>
      <c r="H599" s="13"/>
      <c r="I599" s="13"/>
    </row>
    <row r="600">
      <c r="A600" s="16"/>
      <c r="B600" s="17"/>
      <c r="C600" s="18"/>
      <c r="D600" s="11"/>
      <c r="E600" s="11"/>
      <c r="F600" s="12"/>
      <c r="G600" s="13"/>
      <c r="H600" s="13"/>
      <c r="I600" s="13"/>
    </row>
    <row r="601">
      <c r="A601" s="16"/>
      <c r="B601" s="17"/>
      <c r="C601" s="18"/>
      <c r="D601" s="11"/>
      <c r="E601" s="11"/>
      <c r="F601" s="12"/>
      <c r="G601" s="13"/>
      <c r="H601" s="13"/>
      <c r="I601" s="13"/>
    </row>
    <row r="602">
      <c r="A602" s="16"/>
      <c r="B602" s="17"/>
      <c r="C602" s="18"/>
      <c r="D602" s="11"/>
      <c r="E602" s="11"/>
      <c r="F602" s="12"/>
      <c r="G602" s="13"/>
      <c r="H602" s="13"/>
      <c r="I602" s="13"/>
    </row>
    <row r="603">
      <c r="A603" s="16"/>
      <c r="B603" s="17"/>
      <c r="C603" s="18"/>
      <c r="D603" s="11"/>
      <c r="E603" s="11"/>
      <c r="F603" s="12"/>
      <c r="G603" s="13"/>
      <c r="H603" s="13"/>
      <c r="I603" s="13"/>
    </row>
    <row r="604">
      <c r="A604" s="16"/>
      <c r="B604" s="17"/>
      <c r="C604" s="18"/>
      <c r="D604" s="11"/>
      <c r="E604" s="11"/>
      <c r="F604" s="12"/>
      <c r="G604" s="13"/>
      <c r="H604" s="13"/>
      <c r="I604" s="13"/>
    </row>
    <row r="605">
      <c r="A605" s="16"/>
      <c r="B605" s="17"/>
      <c r="C605" s="18"/>
      <c r="D605" s="11"/>
      <c r="E605" s="11"/>
      <c r="F605" s="12"/>
      <c r="G605" s="13"/>
      <c r="H605" s="13"/>
      <c r="I605" s="13"/>
    </row>
    <row r="606">
      <c r="A606" s="16"/>
      <c r="B606" s="17"/>
      <c r="C606" s="18"/>
      <c r="D606" s="11"/>
      <c r="E606" s="11"/>
      <c r="F606" s="12"/>
      <c r="G606" s="13"/>
      <c r="H606" s="13"/>
      <c r="I606" s="13"/>
    </row>
    <row r="607">
      <c r="A607" s="16"/>
      <c r="B607" s="17"/>
      <c r="C607" s="18"/>
      <c r="D607" s="11"/>
      <c r="E607" s="11"/>
      <c r="F607" s="12"/>
      <c r="G607" s="13"/>
      <c r="H607" s="13"/>
      <c r="I607" s="13"/>
    </row>
    <row r="608">
      <c r="A608" s="16"/>
      <c r="B608" s="17"/>
      <c r="C608" s="18"/>
      <c r="D608" s="11"/>
      <c r="E608" s="11"/>
      <c r="F608" s="12"/>
      <c r="G608" s="13"/>
      <c r="H608" s="13"/>
      <c r="I608" s="13"/>
    </row>
    <row r="609">
      <c r="A609" s="16"/>
      <c r="B609" s="17"/>
      <c r="C609" s="18"/>
      <c r="D609" s="11"/>
      <c r="E609" s="11"/>
      <c r="F609" s="12"/>
      <c r="G609" s="13"/>
      <c r="H609" s="13"/>
      <c r="I609" s="13"/>
    </row>
    <row r="610">
      <c r="A610" s="16"/>
      <c r="B610" s="17"/>
      <c r="C610" s="18"/>
      <c r="D610" s="11"/>
      <c r="E610" s="11"/>
      <c r="F610" s="12"/>
      <c r="G610" s="13"/>
      <c r="H610" s="13"/>
      <c r="I610" s="13"/>
    </row>
    <row r="611">
      <c r="A611" s="16"/>
      <c r="B611" s="17"/>
      <c r="C611" s="18"/>
      <c r="D611" s="11"/>
      <c r="E611" s="11"/>
      <c r="F611" s="12"/>
      <c r="G611" s="13"/>
      <c r="H611" s="13"/>
      <c r="I611" s="13"/>
    </row>
    <row r="612">
      <c r="A612" s="16"/>
      <c r="B612" s="17"/>
      <c r="C612" s="18"/>
      <c r="D612" s="11"/>
      <c r="E612" s="11"/>
      <c r="F612" s="12"/>
      <c r="G612" s="13"/>
      <c r="H612" s="13"/>
      <c r="I612" s="13"/>
    </row>
    <row r="613">
      <c r="A613" s="16"/>
      <c r="B613" s="17"/>
      <c r="C613" s="18"/>
      <c r="D613" s="11"/>
      <c r="E613" s="11"/>
      <c r="F613" s="12"/>
      <c r="G613" s="13"/>
      <c r="H613" s="13"/>
      <c r="I613" s="13"/>
    </row>
    <row r="614">
      <c r="A614" s="16"/>
      <c r="B614" s="17"/>
      <c r="C614" s="18"/>
      <c r="D614" s="11"/>
      <c r="E614" s="11"/>
      <c r="F614" s="12"/>
      <c r="G614" s="13"/>
      <c r="H614" s="13"/>
      <c r="I614" s="13"/>
    </row>
    <row r="615">
      <c r="A615" s="16"/>
      <c r="B615" s="17"/>
      <c r="C615" s="18"/>
      <c r="D615" s="11"/>
      <c r="E615" s="11"/>
      <c r="F615" s="12"/>
      <c r="G615" s="13"/>
      <c r="H615" s="13"/>
      <c r="I615" s="13"/>
    </row>
    <row r="616">
      <c r="A616" s="16"/>
      <c r="B616" s="17"/>
      <c r="C616" s="18"/>
      <c r="D616" s="11"/>
      <c r="E616" s="11"/>
      <c r="F616" s="12"/>
      <c r="G616" s="13"/>
      <c r="H616" s="13"/>
      <c r="I616" s="13"/>
    </row>
    <row r="617">
      <c r="A617" s="16"/>
      <c r="B617" s="17"/>
      <c r="C617" s="18"/>
      <c r="D617" s="11"/>
      <c r="E617" s="11"/>
      <c r="F617" s="12"/>
      <c r="G617" s="13"/>
      <c r="H617" s="13"/>
      <c r="I617" s="13"/>
    </row>
    <row r="618">
      <c r="A618" s="16"/>
      <c r="B618" s="17"/>
      <c r="C618" s="18"/>
      <c r="D618" s="11"/>
      <c r="E618" s="11"/>
      <c r="F618" s="12"/>
      <c r="G618" s="13"/>
      <c r="H618" s="13"/>
      <c r="I618" s="13"/>
    </row>
    <row r="619">
      <c r="A619" s="16"/>
      <c r="B619" s="17"/>
      <c r="C619" s="18"/>
      <c r="D619" s="11"/>
      <c r="E619" s="11"/>
      <c r="F619" s="12"/>
      <c r="G619" s="13"/>
      <c r="H619" s="13"/>
      <c r="I619" s="13"/>
    </row>
    <row r="620">
      <c r="A620" s="16"/>
      <c r="B620" s="17"/>
      <c r="C620" s="18"/>
      <c r="D620" s="11"/>
      <c r="E620" s="11"/>
      <c r="F620" s="12"/>
      <c r="G620" s="13"/>
      <c r="H620" s="13"/>
      <c r="I620" s="13"/>
    </row>
    <row r="621">
      <c r="A621" s="16"/>
      <c r="B621" s="17"/>
      <c r="C621" s="18"/>
      <c r="D621" s="11"/>
      <c r="E621" s="11"/>
      <c r="F621" s="12"/>
      <c r="G621" s="13"/>
      <c r="H621" s="13"/>
      <c r="I621" s="13"/>
    </row>
    <row r="622">
      <c r="A622" s="16"/>
      <c r="B622" s="17"/>
      <c r="C622" s="18"/>
      <c r="D622" s="11"/>
      <c r="E622" s="11"/>
      <c r="F622" s="12"/>
      <c r="G622" s="13"/>
      <c r="H622" s="13"/>
      <c r="I622" s="13"/>
    </row>
    <row r="623">
      <c r="A623" s="16"/>
      <c r="B623" s="17"/>
      <c r="C623" s="18"/>
      <c r="D623" s="11"/>
      <c r="E623" s="11"/>
      <c r="F623" s="12"/>
      <c r="G623" s="13"/>
      <c r="H623" s="13"/>
      <c r="I623" s="13"/>
    </row>
    <row r="624">
      <c r="A624" s="16"/>
      <c r="B624" s="17"/>
      <c r="C624" s="18"/>
      <c r="D624" s="11"/>
      <c r="E624" s="11"/>
      <c r="F624" s="12"/>
      <c r="G624" s="13"/>
      <c r="H624" s="13"/>
      <c r="I624" s="13"/>
    </row>
    <row r="625">
      <c r="A625" s="16"/>
      <c r="B625" s="17"/>
      <c r="C625" s="18"/>
      <c r="D625" s="11"/>
      <c r="E625" s="11"/>
      <c r="F625" s="12"/>
      <c r="G625" s="13"/>
      <c r="H625" s="13"/>
      <c r="I625" s="13"/>
    </row>
    <row r="626">
      <c r="A626" s="16"/>
      <c r="B626" s="17"/>
      <c r="C626" s="18"/>
      <c r="D626" s="11"/>
      <c r="E626" s="11"/>
      <c r="F626" s="12"/>
      <c r="G626" s="13"/>
      <c r="H626" s="13"/>
      <c r="I626" s="13"/>
    </row>
    <row r="627">
      <c r="A627" s="16"/>
      <c r="B627" s="17"/>
      <c r="C627" s="18"/>
      <c r="D627" s="11"/>
      <c r="E627" s="11"/>
      <c r="F627" s="12"/>
      <c r="G627" s="13"/>
      <c r="H627" s="13"/>
      <c r="I627" s="13"/>
    </row>
    <row r="628">
      <c r="A628" s="16"/>
      <c r="B628" s="17"/>
      <c r="C628" s="18"/>
      <c r="D628" s="11"/>
      <c r="E628" s="11"/>
      <c r="F628" s="12"/>
      <c r="G628" s="13"/>
      <c r="H628" s="13"/>
      <c r="I628" s="13"/>
    </row>
    <row r="629">
      <c r="A629" s="16"/>
      <c r="B629" s="17"/>
      <c r="C629" s="18"/>
      <c r="D629" s="11"/>
      <c r="E629" s="11"/>
      <c r="F629" s="12"/>
      <c r="G629" s="13"/>
      <c r="H629" s="13"/>
      <c r="I629" s="13"/>
    </row>
    <row r="630">
      <c r="A630" s="16"/>
      <c r="B630" s="17"/>
      <c r="C630" s="18"/>
      <c r="D630" s="11"/>
      <c r="E630" s="11"/>
      <c r="F630" s="12"/>
      <c r="G630" s="13"/>
      <c r="H630" s="13"/>
      <c r="I630" s="13"/>
    </row>
    <row r="631">
      <c r="A631" s="16"/>
      <c r="B631" s="17"/>
      <c r="C631" s="18"/>
      <c r="D631" s="11"/>
      <c r="E631" s="11"/>
      <c r="F631" s="12"/>
      <c r="G631" s="13"/>
      <c r="H631" s="13"/>
      <c r="I631" s="13"/>
    </row>
    <row r="632">
      <c r="A632" s="16"/>
      <c r="B632" s="17"/>
      <c r="C632" s="18"/>
      <c r="D632" s="11"/>
      <c r="E632" s="11"/>
      <c r="F632" s="12"/>
      <c r="G632" s="13"/>
      <c r="H632" s="13"/>
      <c r="I632" s="13"/>
    </row>
    <row r="633">
      <c r="A633" s="16"/>
      <c r="B633" s="17"/>
      <c r="C633" s="18"/>
      <c r="D633" s="11"/>
      <c r="E633" s="11"/>
      <c r="F633" s="12"/>
      <c r="G633" s="13"/>
      <c r="H633" s="13"/>
      <c r="I633" s="13"/>
    </row>
    <row r="634">
      <c r="A634" s="16"/>
      <c r="B634" s="17"/>
      <c r="C634" s="18"/>
      <c r="D634" s="11"/>
      <c r="E634" s="11"/>
      <c r="F634" s="12"/>
      <c r="G634" s="13"/>
      <c r="H634" s="13"/>
      <c r="I634" s="13"/>
    </row>
    <row r="635">
      <c r="A635" s="16"/>
      <c r="B635" s="17"/>
      <c r="C635" s="18"/>
      <c r="D635" s="11"/>
      <c r="E635" s="11"/>
      <c r="F635" s="12"/>
      <c r="G635" s="13"/>
      <c r="H635" s="13"/>
      <c r="I635" s="13"/>
    </row>
    <row r="636">
      <c r="A636" s="16"/>
      <c r="B636" s="17"/>
      <c r="C636" s="18"/>
      <c r="D636" s="11"/>
      <c r="E636" s="11"/>
      <c r="F636" s="12"/>
      <c r="G636" s="13"/>
      <c r="H636" s="13"/>
      <c r="I636" s="13"/>
    </row>
    <row r="637">
      <c r="A637" s="16"/>
      <c r="B637" s="17"/>
      <c r="C637" s="18"/>
      <c r="D637" s="11"/>
      <c r="E637" s="11"/>
      <c r="F637" s="12"/>
      <c r="G637" s="13"/>
      <c r="H637" s="13"/>
      <c r="I637" s="13"/>
    </row>
    <row r="638">
      <c r="A638" s="16"/>
      <c r="B638" s="17"/>
      <c r="C638" s="18"/>
      <c r="D638" s="11"/>
      <c r="E638" s="11"/>
      <c r="F638" s="12"/>
      <c r="G638" s="13"/>
      <c r="H638" s="13"/>
      <c r="I638" s="13"/>
    </row>
    <row r="639">
      <c r="A639" s="16"/>
      <c r="B639" s="17"/>
      <c r="C639" s="18"/>
      <c r="D639" s="11"/>
      <c r="E639" s="11"/>
      <c r="F639" s="12"/>
      <c r="G639" s="13"/>
      <c r="H639" s="13"/>
      <c r="I639" s="13"/>
    </row>
    <row r="640">
      <c r="A640" s="16"/>
      <c r="B640" s="17"/>
      <c r="C640" s="18"/>
      <c r="D640" s="11"/>
      <c r="E640" s="11"/>
      <c r="F640" s="12"/>
      <c r="G640" s="13"/>
      <c r="H640" s="13"/>
      <c r="I640" s="13"/>
    </row>
    <row r="641">
      <c r="A641" s="16"/>
      <c r="B641" s="17"/>
      <c r="C641" s="18"/>
      <c r="D641" s="11"/>
      <c r="E641" s="11"/>
      <c r="F641" s="12"/>
      <c r="G641" s="13"/>
      <c r="H641" s="13"/>
      <c r="I641" s="13"/>
    </row>
    <row r="642">
      <c r="A642" s="16"/>
      <c r="B642" s="17"/>
      <c r="C642" s="18"/>
      <c r="D642" s="11"/>
      <c r="E642" s="11"/>
      <c r="F642" s="12"/>
      <c r="G642" s="13"/>
      <c r="H642" s="13"/>
      <c r="I642" s="13"/>
    </row>
    <row r="643">
      <c r="A643" s="16"/>
      <c r="B643" s="17"/>
      <c r="C643" s="18"/>
      <c r="D643" s="11"/>
      <c r="E643" s="11"/>
      <c r="F643" s="12"/>
      <c r="G643" s="13"/>
      <c r="H643" s="13"/>
      <c r="I643" s="13"/>
    </row>
    <row r="644">
      <c r="A644" s="16"/>
      <c r="B644" s="17"/>
      <c r="C644" s="18"/>
      <c r="D644" s="11"/>
      <c r="E644" s="11"/>
      <c r="F644" s="12"/>
      <c r="G644" s="13"/>
      <c r="H644" s="13"/>
      <c r="I644" s="13"/>
    </row>
    <row r="645">
      <c r="A645" s="16"/>
      <c r="B645" s="17"/>
      <c r="C645" s="18"/>
      <c r="D645" s="11"/>
      <c r="E645" s="11"/>
      <c r="F645" s="12"/>
      <c r="G645" s="13"/>
      <c r="H645" s="13"/>
      <c r="I645" s="13"/>
    </row>
    <row r="646">
      <c r="A646" s="16"/>
      <c r="B646" s="17"/>
      <c r="C646" s="18"/>
      <c r="D646" s="11"/>
      <c r="E646" s="11"/>
      <c r="F646" s="12"/>
      <c r="G646" s="13"/>
      <c r="H646" s="13"/>
      <c r="I646" s="13"/>
    </row>
    <row r="647">
      <c r="A647" s="16"/>
      <c r="B647" s="17"/>
      <c r="C647" s="18"/>
      <c r="D647" s="11"/>
      <c r="E647" s="11"/>
      <c r="F647" s="12"/>
      <c r="G647" s="13"/>
      <c r="H647" s="13"/>
      <c r="I647" s="13"/>
    </row>
    <row r="648">
      <c r="A648" s="16"/>
      <c r="B648" s="17"/>
      <c r="C648" s="18"/>
      <c r="D648" s="11"/>
      <c r="E648" s="11"/>
      <c r="F648" s="12"/>
      <c r="G648" s="13"/>
      <c r="H648" s="13"/>
      <c r="I648" s="13"/>
    </row>
    <row r="649">
      <c r="A649" s="16"/>
      <c r="B649" s="17"/>
      <c r="C649" s="18"/>
      <c r="D649" s="11"/>
      <c r="E649" s="11"/>
      <c r="F649" s="12"/>
      <c r="G649" s="13"/>
      <c r="H649" s="13"/>
      <c r="I649" s="13"/>
    </row>
    <row r="650">
      <c r="A650" s="16"/>
      <c r="B650" s="17"/>
      <c r="C650" s="18"/>
      <c r="D650" s="11"/>
      <c r="E650" s="11"/>
      <c r="F650" s="12"/>
      <c r="G650" s="13"/>
      <c r="H650" s="13"/>
      <c r="I650" s="13"/>
    </row>
    <row r="651">
      <c r="A651" s="16"/>
      <c r="B651" s="17"/>
      <c r="C651" s="18"/>
      <c r="D651" s="11"/>
      <c r="E651" s="11"/>
      <c r="F651" s="12"/>
      <c r="G651" s="13"/>
      <c r="H651" s="13"/>
      <c r="I651" s="13"/>
    </row>
    <row r="652">
      <c r="A652" s="16"/>
      <c r="B652" s="17"/>
      <c r="C652" s="18"/>
      <c r="D652" s="11"/>
      <c r="E652" s="11"/>
      <c r="F652" s="12"/>
      <c r="G652" s="13"/>
      <c r="H652" s="13"/>
      <c r="I652" s="13"/>
    </row>
    <row r="653">
      <c r="A653" s="16"/>
      <c r="B653" s="17"/>
      <c r="C653" s="18"/>
      <c r="D653" s="11"/>
      <c r="E653" s="11"/>
      <c r="F653" s="12"/>
      <c r="G653" s="13"/>
      <c r="H653" s="13"/>
      <c r="I653" s="13"/>
    </row>
    <row r="654">
      <c r="A654" s="16"/>
      <c r="B654" s="17"/>
      <c r="C654" s="18"/>
      <c r="D654" s="11"/>
      <c r="E654" s="11"/>
      <c r="F654" s="12"/>
      <c r="G654" s="13"/>
      <c r="H654" s="13"/>
      <c r="I654" s="13"/>
    </row>
    <row r="655">
      <c r="A655" s="16"/>
      <c r="B655" s="17"/>
      <c r="C655" s="18"/>
      <c r="D655" s="11"/>
      <c r="E655" s="11"/>
      <c r="F655" s="12"/>
      <c r="G655" s="13"/>
      <c r="H655" s="13"/>
      <c r="I655" s="13"/>
    </row>
    <row r="656">
      <c r="A656" s="16"/>
      <c r="B656" s="17"/>
      <c r="C656" s="18"/>
      <c r="D656" s="11"/>
      <c r="E656" s="11"/>
      <c r="F656" s="12"/>
      <c r="G656" s="13"/>
      <c r="H656" s="13"/>
      <c r="I656" s="13"/>
    </row>
    <row r="657">
      <c r="A657" s="16"/>
      <c r="B657" s="17"/>
      <c r="C657" s="18"/>
      <c r="D657" s="11"/>
      <c r="E657" s="11"/>
      <c r="F657" s="12"/>
      <c r="G657" s="13"/>
      <c r="H657" s="13"/>
      <c r="I657" s="13"/>
    </row>
    <row r="658">
      <c r="A658" s="16"/>
      <c r="B658" s="17"/>
      <c r="C658" s="18"/>
      <c r="D658" s="11"/>
      <c r="E658" s="11"/>
      <c r="F658" s="12"/>
      <c r="G658" s="13"/>
      <c r="H658" s="13"/>
      <c r="I658" s="13"/>
    </row>
    <row r="659">
      <c r="A659" s="16"/>
      <c r="B659" s="17"/>
      <c r="C659" s="18"/>
      <c r="D659" s="11"/>
      <c r="E659" s="11"/>
      <c r="F659" s="12"/>
      <c r="G659" s="13"/>
      <c r="H659" s="13"/>
      <c r="I659" s="13"/>
    </row>
    <row r="660">
      <c r="A660" s="16"/>
      <c r="B660" s="17"/>
      <c r="C660" s="18"/>
      <c r="D660" s="11"/>
      <c r="E660" s="11"/>
      <c r="F660" s="12"/>
      <c r="G660" s="13"/>
      <c r="H660" s="13"/>
      <c r="I660" s="13"/>
    </row>
    <row r="661">
      <c r="A661" s="16"/>
      <c r="B661" s="17"/>
      <c r="C661" s="18"/>
      <c r="D661" s="11"/>
      <c r="E661" s="11"/>
      <c r="F661" s="12"/>
      <c r="G661" s="13"/>
      <c r="H661" s="13"/>
      <c r="I661" s="13"/>
    </row>
    <row r="662">
      <c r="A662" s="16"/>
      <c r="B662" s="17"/>
      <c r="C662" s="18"/>
      <c r="D662" s="11"/>
      <c r="E662" s="11"/>
      <c r="F662" s="12"/>
      <c r="G662" s="13"/>
      <c r="H662" s="13"/>
      <c r="I662" s="13"/>
    </row>
    <row r="663">
      <c r="A663" s="16"/>
      <c r="B663" s="17"/>
      <c r="C663" s="18"/>
      <c r="D663" s="11"/>
      <c r="E663" s="11"/>
      <c r="F663" s="12"/>
      <c r="G663" s="13"/>
      <c r="H663" s="13"/>
      <c r="I663" s="13"/>
    </row>
    <row r="664">
      <c r="A664" s="16"/>
      <c r="B664" s="17"/>
      <c r="C664" s="18"/>
      <c r="D664" s="11"/>
      <c r="E664" s="11"/>
      <c r="F664" s="12"/>
      <c r="G664" s="13"/>
      <c r="H664" s="13"/>
      <c r="I664" s="13"/>
    </row>
    <row r="665">
      <c r="A665" s="16"/>
      <c r="B665" s="17"/>
      <c r="C665" s="18"/>
      <c r="D665" s="11"/>
      <c r="E665" s="11"/>
      <c r="F665" s="12"/>
      <c r="G665" s="13"/>
      <c r="H665" s="13"/>
      <c r="I665" s="13"/>
    </row>
    <row r="666">
      <c r="A666" s="16"/>
      <c r="B666" s="17"/>
      <c r="C666" s="18"/>
      <c r="D666" s="11"/>
      <c r="E666" s="11"/>
      <c r="F666" s="12"/>
      <c r="G666" s="13"/>
      <c r="H666" s="13"/>
      <c r="I666" s="13"/>
    </row>
    <row r="667">
      <c r="A667" s="16"/>
      <c r="B667" s="17"/>
      <c r="C667" s="18"/>
      <c r="D667" s="11"/>
      <c r="E667" s="11"/>
      <c r="F667" s="12"/>
      <c r="G667" s="13"/>
      <c r="H667" s="13"/>
      <c r="I667" s="13"/>
    </row>
    <row r="668">
      <c r="A668" s="16"/>
      <c r="B668" s="17"/>
      <c r="C668" s="18"/>
      <c r="D668" s="11"/>
      <c r="E668" s="11"/>
      <c r="F668" s="12"/>
      <c r="G668" s="13"/>
      <c r="H668" s="13"/>
      <c r="I668" s="13"/>
    </row>
    <row r="669">
      <c r="A669" s="16"/>
      <c r="B669" s="17"/>
      <c r="C669" s="18"/>
      <c r="D669" s="11"/>
      <c r="E669" s="11"/>
      <c r="F669" s="12"/>
      <c r="G669" s="13"/>
      <c r="H669" s="13"/>
      <c r="I669" s="13"/>
    </row>
    <row r="670">
      <c r="A670" s="16"/>
      <c r="B670" s="17"/>
      <c r="C670" s="18"/>
      <c r="D670" s="11"/>
      <c r="E670" s="11"/>
      <c r="F670" s="12"/>
      <c r="G670" s="13"/>
      <c r="H670" s="13"/>
      <c r="I670" s="13"/>
    </row>
    <row r="671">
      <c r="A671" s="16"/>
      <c r="B671" s="17"/>
      <c r="C671" s="18"/>
      <c r="D671" s="11"/>
      <c r="E671" s="11"/>
      <c r="F671" s="12"/>
      <c r="G671" s="13"/>
      <c r="H671" s="13"/>
      <c r="I671" s="13"/>
    </row>
    <row r="672">
      <c r="A672" s="16"/>
      <c r="B672" s="17"/>
      <c r="C672" s="18"/>
      <c r="D672" s="11"/>
      <c r="E672" s="11"/>
      <c r="F672" s="12"/>
      <c r="G672" s="13"/>
      <c r="H672" s="13"/>
      <c r="I672" s="13"/>
    </row>
    <row r="673">
      <c r="A673" s="16"/>
      <c r="B673" s="17"/>
      <c r="C673" s="18"/>
      <c r="D673" s="11"/>
      <c r="E673" s="11"/>
      <c r="F673" s="12"/>
      <c r="G673" s="13"/>
      <c r="H673" s="13"/>
      <c r="I673" s="13"/>
    </row>
    <row r="674">
      <c r="A674" s="16"/>
      <c r="B674" s="17"/>
      <c r="C674" s="18"/>
      <c r="D674" s="11"/>
      <c r="E674" s="11"/>
      <c r="F674" s="12"/>
      <c r="G674" s="13"/>
      <c r="H674" s="13"/>
      <c r="I674" s="13"/>
    </row>
    <row r="675">
      <c r="A675" s="16"/>
      <c r="B675" s="17"/>
      <c r="C675" s="18"/>
      <c r="D675" s="11"/>
      <c r="E675" s="11"/>
      <c r="F675" s="12"/>
      <c r="G675" s="13"/>
      <c r="H675" s="13"/>
      <c r="I675" s="13"/>
    </row>
    <row r="676">
      <c r="A676" s="16"/>
      <c r="B676" s="17"/>
      <c r="C676" s="18"/>
      <c r="D676" s="11"/>
      <c r="E676" s="11"/>
      <c r="F676" s="12"/>
      <c r="G676" s="13"/>
      <c r="H676" s="13"/>
      <c r="I676" s="13"/>
    </row>
    <row r="677">
      <c r="A677" s="16"/>
      <c r="B677" s="17"/>
      <c r="C677" s="18"/>
      <c r="D677" s="11"/>
      <c r="E677" s="11"/>
      <c r="F677" s="12"/>
      <c r="G677" s="13"/>
      <c r="H677" s="13"/>
      <c r="I677" s="13"/>
    </row>
    <row r="678">
      <c r="A678" s="16"/>
      <c r="B678" s="17"/>
      <c r="C678" s="18"/>
      <c r="D678" s="11"/>
      <c r="E678" s="11"/>
      <c r="F678" s="12"/>
      <c r="G678" s="13"/>
      <c r="H678" s="13"/>
      <c r="I678" s="13"/>
    </row>
    <row r="679">
      <c r="A679" s="16"/>
      <c r="B679" s="17"/>
      <c r="C679" s="18"/>
      <c r="D679" s="11"/>
      <c r="E679" s="11"/>
      <c r="F679" s="12"/>
      <c r="G679" s="13"/>
      <c r="H679" s="13"/>
      <c r="I679" s="13"/>
    </row>
    <row r="680">
      <c r="A680" s="16"/>
      <c r="B680" s="17"/>
      <c r="C680" s="18"/>
      <c r="D680" s="11"/>
      <c r="E680" s="11"/>
      <c r="F680" s="12"/>
      <c r="G680" s="13"/>
      <c r="H680" s="13"/>
      <c r="I680" s="13"/>
    </row>
    <row r="681">
      <c r="A681" s="16"/>
      <c r="B681" s="17"/>
      <c r="C681" s="18"/>
      <c r="D681" s="11"/>
      <c r="E681" s="11"/>
      <c r="F681" s="12"/>
      <c r="G681" s="13"/>
      <c r="H681" s="13"/>
      <c r="I681" s="13"/>
    </row>
    <row r="682">
      <c r="A682" s="16"/>
      <c r="B682" s="17"/>
      <c r="C682" s="18"/>
      <c r="D682" s="11"/>
      <c r="E682" s="11"/>
      <c r="F682" s="12"/>
      <c r="G682" s="13"/>
      <c r="H682" s="13"/>
      <c r="I682" s="13"/>
    </row>
    <row r="683">
      <c r="A683" s="16"/>
      <c r="B683" s="17"/>
      <c r="C683" s="18"/>
      <c r="D683" s="11"/>
      <c r="E683" s="11"/>
      <c r="F683" s="12"/>
      <c r="G683" s="13"/>
      <c r="H683" s="13"/>
      <c r="I683" s="13"/>
    </row>
    <row r="684">
      <c r="A684" s="16"/>
      <c r="B684" s="17"/>
      <c r="C684" s="18"/>
      <c r="D684" s="11"/>
      <c r="E684" s="11"/>
      <c r="F684" s="12"/>
      <c r="G684" s="13"/>
      <c r="H684" s="13"/>
      <c r="I684" s="13"/>
    </row>
    <row r="685">
      <c r="A685" s="16"/>
      <c r="B685" s="17"/>
      <c r="C685" s="18"/>
      <c r="D685" s="11"/>
      <c r="E685" s="11"/>
      <c r="F685" s="12"/>
      <c r="G685" s="13"/>
      <c r="H685" s="13"/>
      <c r="I685" s="13"/>
    </row>
    <row r="686">
      <c r="A686" s="16"/>
      <c r="B686" s="17"/>
      <c r="C686" s="18"/>
      <c r="D686" s="11"/>
      <c r="E686" s="11"/>
      <c r="F686" s="12"/>
      <c r="G686" s="13"/>
      <c r="H686" s="13"/>
      <c r="I686" s="13"/>
    </row>
    <row r="687">
      <c r="A687" s="16"/>
      <c r="B687" s="17"/>
      <c r="C687" s="18"/>
      <c r="D687" s="11"/>
      <c r="E687" s="11"/>
      <c r="F687" s="12"/>
      <c r="G687" s="13"/>
      <c r="H687" s="13"/>
      <c r="I687" s="13"/>
    </row>
    <row r="688">
      <c r="A688" s="16"/>
      <c r="B688" s="17"/>
      <c r="C688" s="18"/>
      <c r="D688" s="11"/>
      <c r="E688" s="11"/>
      <c r="F688" s="12"/>
      <c r="G688" s="13"/>
      <c r="H688" s="13"/>
      <c r="I688" s="13"/>
    </row>
    <row r="689">
      <c r="A689" s="16"/>
      <c r="B689" s="17"/>
      <c r="C689" s="18"/>
      <c r="D689" s="11"/>
      <c r="E689" s="11"/>
      <c r="F689" s="12"/>
      <c r="G689" s="13"/>
      <c r="H689" s="13"/>
      <c r="I689" s="13"/>
    </row>
    <row r="690">
      <c r="A690" s="16"/>
      <c r="B690" s="17"/>
      <c r="C690" s="18"/>
      <c r="D690" s="11"/>
      <c r="E690" s="11"/>
      <c r="F690" s="12"/>
      <c r="G690" s="13"/>
      <c r="H690" s="13"/>
      <c r="I690" s="13"/>
    </row>
    <row r="691">
      <c r="A691" s="16"/>
      <c r="B691" s="17"/>
      <c r="C691" s="18"/>
      <c r="D691" s="11"/>
      <c r="E691" s="11"/>
      <c r="F691" s="12"/>
      <c r="G691" s="13"/>
      <c r="H691" s="13"/>
      <c r="I691" s="13"/>
    </row>
    <row r="692">
      <c r="A692" s="16"/>
      <c r="B692" s="17"/>
      <c r="C692" s="18"/>
      <c r="D692" s="11"/>
      <c r="E692" s="11"/>
      <c r="F692" s="12"/>
      <c r="G692" s="13"/>
      <c r="H692" s="13"/>
      <c r="I692" s="13"/>
    </row>
    <row r="693">
      <c r="A693" s="16"/>
      <c r="B693" s="17"/>
      <c r="C693" s="18"/>
      <c r="D693" s="11"/>
      <c r="E693" s="11"/>
      <c r="F693" s="12"/>
      <c r="G693" s="13"/>
      <c r="H693" s="13"/>
      <c r="I693" s="13"/>
    </row>
    <row r="694">
      <c r="A694" s="16"/>
      <c r="B694" s="17"/>
      <c r="C694" s="18"/>
      <c r="D694" s="11"/>
      <c r="E694" s="11"/>
      <c r="F694" s="12"/>
      <c r="G694" s="13"/>
      <c r="H694" s="13"/>
      <c r="I694" s="13"/>
    </row>
    <row r="695">
      <c r="A695" s="16"/>
      <c r="B695" s="17"/>
      <c r="C695" s="18"/>
      <c r="D695" s="11"/>
      <c r="E695" s="11"/>
      <c r="F695" s="12"/>
      <c r="G695" s="13"/>
      <c r="H695" s="13"/>
      <c r="I695" s="13"/>
    </row>
    <row r="696">
      <c r="A696" s="16"/>
      <c r="B696" s="17"/>
      <c r="C696" s="18"/>
      <c r="D696" s="11"/>
      <c r="E696" s="11"/>
      <c r="F696" s="12"/>
      <c r="G696" s="13"/>
      <c r="H696" s="13"/>
      <c r="I696" s="13"/>
    </row>
    <row r="697">
      <c r="A697" s="16"/>
      <c r="B697" s="17"/>
      <c r="C697" s="18"/>
      <c r="D697" s="11"/>
      <c r="E697" s="11"/>
      <c r="F697" s="12"/>
      <c r="G697" s="13"/>
      <c r="H697" s="13"/>
      <c r="I697" s="13"/>
    </row>
    <row r="698">
      <c r="A698" s="16"/>
      <c r="B698" s="17"/>
      <c r="C698" s="18"/>
      <c r="D698" s="11"/>
      <c r="E698" s="11"/>
      <c r="F698" s="12"/>
      <c r="G698" s="13"/>
      <c r="H698" s="13"/>
      <c r="I698" s="13"/>
    </row>
    <row r="699">
      <c r="A699" s="16"/>
      <c r="B699" s="17"/>
      <c r="C699" s="18"/>
      <c r="D699" s="11"/>
      <c r="E699" s="11"/>
      <c r="F699" s="12"/>
      <c r="G699" s="13"/>
      <c r="H699" s="13"/>
      <c r="I699" s="13"/>
    </row>
    <row r="700">
      <c r="A700" s="16"/>
      <c r="B700" s="17"/>
      <c r="C700" s="18"/>
      <c r="D700" s="11"/>
      <c r="E700" s="11"/>
      <c r="F700" s="12"/>
      <c r="G700" s="13"/>
      <c r="H700" s="13"/>
      <c r="I700" s="13"/>
    </row>
    <row r="701">
      <c r="A701" s="16"/>
      <c r="B701" s="17"/>
      <c r="C701" s="18"/>
      <c r="D701" s="11"/>
      <c r="E701" s="11"/>
      <c r="F701" s="12"/>
      <c r="G701" s="13"/>
      <c r="H701" s="13"/>
      <c r="I701" s="13"/>
    </row>
    <row r="702">
      <c r="A702" s="16"/>
      <c r="B702" s="17"/>
      <c r="C702" s="18"/>
      <c r="D702" s="11"/>
      <c r="E702" s="11"/>
      <c r="F702" s="12"/>
      <c r="G702" s="13"/>
      <c r="H702" s="13"/>
      <c r="I702" s="13"/>
    </row>
    <row r="703">
      <c r="A703" s="16"/>
      <c r="B703" s="17"/>
      <c r="C703" s="18"/>
      <c r="D703" s="11"/>
      <c r="E703" s="11"/>
      <c r="F703" s="12"/>
      <c r="G703" s="13"/>
      <c r="H703" s="13"/>
      <c r="I703" s="13"/>
    </row>
    <row r="704">
      <c r="A704" s="16"/>
      <c r="B704" s="17"/>
      <c r="C704" s="18"/>
      <c r="D704" s="11"/>
      <c r="E704" s="11"/>
      <c r="F704" s="12"/>
      <c r="G704" s="13"/>
      <c r="H704" s="13"/>
      <c r="I704" s="13"/>
    </row>
    <row r="705">
      <c r="A705" s="16"/>
      <c r="B705" s="17"/>
      <c r="C705" s="18"/>
      <c r="D705" s="11"/>
      <c r="E705" s="11"/>
      <c r="F705" s="12"/>
      <c r="G705" s="13"/>
      <c r="H705" s="13"/>
      <c r="I705" s="13"/>
    </row>
    <row r="706">
      <c r="A706" s="16"/>
      <c r="B706" s="17"/>
      <c r="C706" s="18"/>
      <c r="D706" s="11"/>
      <c r="E706" s="11"/>
      <c r="F706" s="12"/>
      <c r="G706" s="13"/>
      <c r="H706" s="13"/>
      <c r="I706" s="13"/>
    </row>
    <row r="707">
      <c r="A707" s="16"/>
      <c r="B707" s="17"/>
      <c r="C707" s="18"/>
      <c r="D707" s="11"/>
      <c r="E707" s="11"/>
      <c r="F707" s="12"/>
      <c r="G707" s="13"/>
      <c r="H707" s="13"/>
      <c r="I707" s="13"/>
    </row>
    <row r="708">
      <c r="A708" s="16"/>
      <c r="B708" s="17"/>
      <c r="C708" s="18"/>
      <c r="D708" s="11"/>
      <c r="E708" s="11"/>
      <c r="F708" s="12"/>
      <c r="G708" s="13"/>
      <c r="H708" s="13"/>
      <c r="I708" s="13"/>
    </row>
    <row r="709">
      <c r="A709" s="16"/>
      <c r="B709" s="17"/>
      <c r="C709" s="18"/>
      <c r="D709" s="11"/>
      <c r="E709" s="11"/>
      <c r="F709" s="12"/>
      <c r="G709" s="13"/>
      <c r="H709" s="13"/>
      <c r="I709" s="13"/>
    </row>
    <row r="710">
      <c r="A710" s="16"/>
      <c r="B710" s="17"/>
      <c r="C710" s="18"/>
      <c r="D710" s="11"/>
      <c r="E710" s="11"/>
      <c r="F710" s="12"/>
      <c r="G710" s="13"/>
      <c r="H710" s="13"/>
      <c r="I710" s="13"/>
    </row>
    <row r="711">
      <c r="A711" s="16"/>
      <c r="B711" s="17"/>
      <c r="C711" s="18"/>
      <c r="D711" s="11"/>
      <c r="E711" s="11"/>
      <c r="F711" s="12"/>
      <c r="G711" s="13"/>
      <c r="H711" s="13"/>
      <c r="I711" s="13"/>
    </row>
    <row r="712">
      <c r="A712" s="16"/>
      <c r="B712" s="17"/>
      <c r="C712" s="18"/>
      <c r="D712" s="11"/>
      <c r="E712" s="11"/>
      <c r="F712" s="12"/>
      <c r="G712" s="13"/>
      <c r="H712" s="13"/>
      <c r="I712" s="13"/>
    </row>
    <row r="713">
      <c r="A713" s="16"/>
      <c r="B713" s="17"/>
      <c r="C713" s="18"/>
      <c r="D713" s="11"/>
      <c r="E713" s="11"/>
      <c r="F713" s="12"/>
      <c r="G713" s="13"/>
      <c r="H713" s="13"/>
      <c r="I713" s="13"/>
    </row>
    <row r="714">
      <c r="A714" s="16"/>
      <c r="B714" s="17"/>
      <c r="C714" s="18"/>
      <c r="D714" s="11"/>
      <c r="E714" s="11"/>
      <c r="F714" s="12"/>
      <c r="G714" s="13"/>
      <c r="H714" s="13"/>
      <c r="I714" s="13"/>
    </row>
    <row r="715">
      <c r="A715" s="16"/>
      <c r="B715" s="17"/>
      <c r="C715" s="18"/>
      <c r="D715" s="11"/>
      <c r="E715" s="11"/>
      <c r="F715" s="12"/>
      <c r="G715" s="13"/>
      <c r="H715" s="13"/>
      <c r="I715" s="13"/>
    </row>
    <row r="716">
      <c r="A716" s="16"/>
      <c r="B716" s="17"/>
      <c r="C716" s="18"/>
      <c r="D716" s="11"/>
      <c r="E716" s="11"/>
      <c r="F716" s="12"/>
      <c r="G716" s="13"/>
      <c r="H716" s="13"/>
      <c r="I716" s="13"/>
    </row>
    <row r="717">
      <c r="A717" s="16"/>
      <c r="B717" s="17"/>
      <c r="C717" s="18"/>
      <c r="D717" s="11"/>
      <c r="E717" s="11"/>
      <c r="F717" s="12"/>
      <c r="G717" s="13"/>
      <c r="H717" s="13"/>
      <c r="I717" s="13"/>
    </row>
    <row r="718">
      <c r="A718" s="16"/>
      <c r="B718" s="17"/>
      <c r="C718" s="18"/>
      <c r="D718" s="11"/>
      <c r="E718" s="11"/>
      <c r="F718" s="12"/>
      <c r="G718" s="13"/>
      <c r="H718" s="13"/>
      <c r="I718" s="13"/>
    </row>
    <row r="719">
      <c r="A719" s="16"/>
      <c r="B719" s="17"/>
      <c r="C719" s="18"/>
      <c r="D719" s="11"/>
      <c r="E719" s="11"/>
      <c r="F719" s="12"/>
      <c r="G719" s="13"/>
      <c r="H719" s="13"/>
      <c r="I719" s="13"/>
    </row>
    <row r="720">
      <c r="A720" s="16"/>
      <c r="B720" s="17"/>
      <c r="C720" s="18"/>
      <c r="D720" s="11"/>
      <c r="E720" s="11"/>
      <c r="F720" s="12"/>
      <c r="G720" s="13"/>
      <c r="H720" s="13"/>
      <c r="I720" s="13"/>
    </row>
    <row r="721">
      <c r="A721" s="16"/>
      <c r="B721" s="17"/>
      <c r="C721" s="18"/>
      <c r="D721" s="11"/>
      <c r="E721" s="11"/>
      <c r="F721" s="12"/>
      <c r="G721" s="13"/>
      <c r="H721" s="13"/>
      <c r="I721" s="13"/>
    </row>
    <row r="722">
      <c r="A722" s="16"/>
      <c r="B722" s="17"/>
      <c r="C722" s="18"/>
      <c r="D722" s="11"/>
      <c r="E722" s="11"/>
      <c r="F722" s="12"/>
      <c r="G722" s="13"/>
      <c r="H722" s="13"/>
      <c r="I722" s="13"/>
    </row>
    <row r="723">
      <c r="A723" s="16"/>
      <c r="B723" s="17"/>
      <c r="C723" s="18"/>
      <c r="D723" s="11"/>
      <c r="E723" s="11"/>
      <c r="F723" s="12"/>
      <c r="G723" s="13"/>
      <c r="H723" s="13"/>
      <c r="I723" s="13"/>
    </row>
    <row r="724">
      <c r="A724" s="16"/>
      <c r="B724" s="17"/>
      <c r="C724" s="18"/>
      <c r="D724" s="11"/>
      <c r="E724" s="11"/>
      <c r="F724" s="12"/>
      <c r="G724" s="13"/>
      <c r="H724" s="13"/>
      <c r="I724" s="13"/>
    </row>
    <row r="725">
      <c r="A725" s="16"/>
      <c r="B725" s="17"/>
      <c r="C725" s="18"/>
      <c r="D725" s="11"/>
      <c r="E725" s="11"/>
      <c r="F725" s="12"/>
      <c r="G725" s="13"/>
      <c r="H725" s="13"/>
      <c r="I725" s="13"/>
    </row>
    <row r="726">
      <c r="A726" s="16"/>
      <c r="B726" s="17"/>
      <c r="C726" s="18"/>
      <c r="D726" s="11"/>
      <c r="E726" s="11"/>
      <c r="F726" s="12"/>
      <c r="G726" s="13"/>
      <c r="H726" s="13"/>
      <c r="I726" s="13"/>
    </row>
    <row r="727">
      <c r="A727" s="16"/>
      <c r="B727" s="17"/>
      <c r="C727" s="18"/>
      <c r="D727" s="11"/>
      <c r="E727" s="11"/>
      <c r="F727" s="12"/>
      <c r="G727" s="13"/>
      <c r="H727" s="13"/>
      <c r="I727" s="13"/>
    </row>
    <row r="728">
      <c r="A728" s="16"/>
      <c r="B728" s="17"/>
      <c r="C728" s="18"/>
      <c r="D728" s="11"/>
      <c r="E728" s="11"/>
      <c r="F728" s="12"/>
      <c r="G728" s="13"/>
      <c r="H728" s="13"/>
      <c r="I728" s="13"/>
    </row>
    <row r="729">
      <c r="A729" s="16"/>
      <c r="B729" s="17"/>
      <c r="C729" s="18"/>
      <c r="D729" s="11"/>
      <c r="E729" s="11"/>
      <c r="F729" s="12"/>
      <c r="G729" s="13"/>
      <c r="H729" s="13"/>
      <c r="I729" s="13"/>
    </row>
    <row r="730">
      <c r="A730" s="16"/>
      <c r="B730" s="17"/>
      <c r="C730" s="18"/>
      <c r="D730" s="11"/>
      <c r="E730" s="11"/>
      <c r="F730" s="12"/>
      <c r="G730" s="13"/>
      <c r="H730" s="13"/>
      <c r="I730" s="13"/>
    </row>
    <row r="731">
      <c r="A731" s="16"/>
      <c r="B731" s="17"/>
      <c r="C731" s="18"/>
      <c r="D731" s="11"/>
      <c r="E731" s="11"/>
      <c r="F731" s="12"/>
      <c r="G731" s="13"/>
      <c r="H731" s="13"/>
      <c r="I731" s="13"/>
    </row>
    <row r="732">
      <c r="A732" s="16"/>
      <c r="B732" s="17"/>
      <c r="C732" s="18"/>
      <c r="D732" s="11"/>
      <c r="E732" s="11"/>
      <c r="F732" s="12"/>
      <c r="G732" s="13"/>
      <c r="H732" s="13"/>
      <c r="I732" s="13"/>
    </row>
    <row r="733">
      <c r="A733" s="16"/>
      <c r="B733" s="17"/>
      <c r="C733" s="18"/>
      <c r="D733" s="11"/>
      <c r="E733" s="11"/>
      <c r="F733" s="12"/>
      <c r="G733" s="13"/>
      <c r="H733" s="13"/>
      <c r="I733" s="13"/>
    </row>
    <row r="734">
      <c r="A734" s="16"/>
      <c r="B734" s="17"/>
      <c r="C734" s="18"/>
      <c r="D734" s="11"/>
      <c r="E734" s="11"/>
      <c r="F734" s="12"/>
      <c r="G734" s="13"/>
      <c r="H734" s="13"/>
      <c r="I734" s="13"/>
    </row>
    <row r="735">
      <c r="A735" s="16"/>
      <c r="B735" s="17"/>
      <c r="C735" s="18"/>
      <c r="D735" s="11"/>
      <c r="E735" s="11"/>
      <c r="F735" s="12"/>
      <c r="G735" s="13"/>
      <c r="H735" s="13"/>
      <c r="I735" s="13"/>
    </row>
    <row r="736">
      <c r="A736" s="16"/>
      <c r="B736" s="17"/>
      <c r="C736" s="18"/>
      <c r="D736" s="11"/>
      <c r="E736" s="11"/>
      <c r="F736" s="12"/>
      <c r="G736" s="13"/>
      <c r="H736" s="13"/>
      <c r="I736" s="13"/>
    </row>
    <row r="737">
      <c r="A737" s="16"/>
      <c r="B737" s="17"/>
      <c r="C737" s="18"/>
      <c r="D737" s="11"/>
      <c r="E737" s="11"/>
      <c r="F737" s="12"/>
      <c r="G737" s="13"/>
      <c r="H737" s="13"/>
      <c r="I737" s="13"/>
    </row>
    <row r="738">
      <c r="A738" s="16"/>
      <c r="B738" s="17"/>
      <c r="C738" s="18"/>
      <c r="D738" s="11"/>
      <c r="E738" s="11"/>
      <c r="F738" s="12"/>
      <c r="G738" s="13"/>
      <c r="H738" s="13"/>
      <c r="I738" s="13"/>
    </row>
    <row r="739">
      <c r="A739" s="16"/>
      <c r="B739" s="17"/>
      <c r="C739" s="18"/>
      <c r="D739" s="11"/>
      <c r="E739" s="11"/>
      <c r="F739" s="12"/>
      <c r="G739" s="13"/>
      <c r="H739" s="13"/>
      <c r="I739" s="13"/>
    </row>
    <row r="740">
      <c r="A740" s="16"/>
      <c r="B740" s="17"/>
      <c r="C740" s="18"/>
      <c r="D740" s="11"/>
      <c r="E740" s="11"/>
      <c r="F740" s="12"/>
      <c r="G740" s="13"/>
      <c r="H740" s="13"/>
      <c r="I740" s="13"/>
    </row>
    <row r="741">
      <c r="A741" s="16"/>
      <c r="B741" s="17"/>
      <c r="C741" s="18"/>
      <c r="D741" s="11"/>
      <c r="E741" s="11"/>
      <c r="F741" s="12"/>
      <c r="G741" s="13"/>
      <c r="H741" s="13"/>
      <c r="I741" s="13"/>
    </row>
    <row r="742">
      <c r="A742" s="16"/>
      <c r="B742" s="17"/>
      <c r="C742" s="18"/>
      <c r="D742" s="11"/>
      <c r="E742" s="11"/>
      <c r="F742" s="12"/>
      <c r="G742" s="13"/>
      <c r="H742" s="13"/>
      <c r="I742" s="13"/>
    </row>
    <row r="743">
      <c r="A743" s="16"/>
      <c r="B743" s="17"/>
      <c r="C743" s="18"/>
      <c r="D743" s="11"/>
      <c r="E743" s="11"/>
      <c r="F743" s="12"/>
      <c r="G743" s="13"/>
      <c r="H743" s="13"/>
      <c r="I743" s="13"/>
    </row>
    <row r="744">
      <c r="A744" s="16"/>
      <c r="B744" s="17"/>
      <c r="C744" s="18"/>
      <c r="D744" s="11"/>
      <c r="E744" s="11"/>
      <c r="F744" s="12"/>
      <c r="G744" s="13"/>
      <c r="H744" s="13"/>
      <c r="I744" s="13"/>
    </row>
    <row r="745">
      <c r="A745" s="16"/>
      <c r="B745" s="17"/>
      <c r="C745" s="18"/>
      <c r="D745" s="11"/>
      <c r="E745" s="11"/>
      <c r="F745" s="12"/>
      <c r="G745" s="13"/>
      <c r="H745" s="13"/>
      <c r="I745" s="13"/>
    </row>
    <row r="746">
      <c r="A746" s="16"/>
      <c r="B746" s="17"/>
      <c r="C746" s="18"/>
      <c r="D746" s="11"/>
      <c r="E746" s="11"/>
      <c r="F746" s="12"/>
      <c r="G746" s="13"/>
      <c r="H746" s="13"/>
      <c r="I746" s="13"/>
    </row>
    <row r="747">
      <c r="A747" s="16"/>
      <c r="B747" s="17"/>
      <c r="C747" s="18"/>
      <c r="D747" s="11"/>
      <c r="E747" s="11"/>
      <c r="F747" s="12"/>
      <c r="G747" s="13"/>
      <c r="H747" s="13"/>
      <c r="I747" s="13"/>
    </row>
    <row r="748">
      <c r="A748" s="16"/>
      <c r="B748" s="17"/>
      <c r="C748" s="18"/>
      <c r="D748" s="11"/>
      <c r="E748" s="11"/>
      <c r="F748" s="12"/>
      <c r="G748" s="13"/>
      <c r="H748" s="13"/>
      <c r="I748" s="13"/>
    </row>
    <row r="749">
      <c r="A749" s="16"/>
      <c r="B749" s="17"/>
      <c r="C749" s="18"/>
      <c r="D749" s="11"/>
      <c r="E749" s="11"/>
      <c r="F749" s="12"/>
      <c r="G749" s="13"/>
      <c r="H749" s="13"/>
      <c r="I749" s="13"/>
    </row>
    <row r="750">
      <c r="A750" s="16"/>
      <c r="B750" s="17"/>
      <c r="C750" s="18"/>
      <c r="D750" s="11"/>
      <c r="E750" s="11"/>
      <c r="F750" s="12"/>
      <c r="G750" s="13"/>
      <c r="H750" s="13"/>
      <c r="I750" s="13"/>
    </row>
    <row r="751">
      <c r="A751" s="16"/>
      <c r="B751" s="17"/>
      <c r="C751" s="18"/>
      <c r="D751" s="11"/>
      <c r="E751" s="11"/>
      <c r="F751" s="12"/>
      <c r="G751" s="13"/>
      <c r="H751" s="13"/>
      <c r="I751" s="13"/>
    </row>
    <row r="752">
      <c r="A752" s="16"/>
      <c r="B752" s="17"/>
      <c r="C752" s="18"/>
      <c r="D752" s="11"/>
      <c r="E752" s="11"/>
      <c r="F752" s="12"/>
      <c r="G752" s="13"/>
      <c r="H752" s="13"/>
      <c r="I752" s="13"/>
    </row>
    <row r="753">
      <c r="A753" s="16"/>
      <c r="B753" s="17"/>
      <c r="C753" s="18"/>
      <c r="D753" s="11"/>
      <c r="E753" s="11"/>
      <c r="F753" s="12"/>
      <c r="G753" s="13"/>
      <c r="H753" s="13"/>
      <c r="I753" s="13"/>
    </row>
    <row r="754">
      <c r="A754" s="16"/>
      <c r="B754" s="17"/>
      <c r="C754" s="18"/>
      <c r="D754" s="11"/>
      <c r="E754" s="11"/>
      <c r="F754" s="12"/>
      <c r="G754" s="13"/>
      <c r="H754" s="13"/>
      <c r="I754" s="13"/>
    </row>
    <row r="755">
      <c r="A755" s="16"/>
      <c r="B755" s="17"/>
      <c r="C755" s="18"/>
      <c r="D755" s="11"/>
      <c r="E755" s="11"/>
      <c r="F755" s="12"/>
      <c r="G755" s="13"/>
      <c r="H755" s="13"/>
      <c r="I755" s="13"/>
    </row>
    <row r="756">
      <c r="A756" s="16"/>
      <c r="B756" s="17"/>
      <c r="C756" s="18"/>
      <c r="D756" s="11"/>
      <c r="E756" s="11"/>
      <c r="F756" s="12"/>
      <c r="G756" s="13"/>
      <c r="H756" s="13"/>
      <c r="I756" s="13"/>
    </row>
    <row r="757">
      <c r="A757" s="16"/>
      <c r="B757" s="17"/>
      <c r="C757" s="18"/>
      <c r="D757" s="11"/>
      <c r="E757" s="11"/>
      <c r="F757" s="12"/>
      <c r="G757" s="13"/>
      <c r="H757" s="13"/>
      <c r="I757" s="13"/>
    </row>
    <row r="758">
      <c r="A758" s="16"/>
      <c r="B758" s="17"/>
      <c r="C758" s="18"/>
      <c r="D758" s="11"/>
      <c r="E758" s="11"/>
      <c r="F758" s="12"/>
      <c r="G758" s="13"/>
      <c r="H758" s="13"/>
      <c r="I758" s="13"/>
    </row>
    <row r="759">
      <c r="A759" s="16"/>
      <c r="B759" s="17"/>
      <c r="C759" s="18"/>
      <c r="D759" s="11"/>
      <c r="E759" s="11"/>
      <c r="F759" s="12"/>
      <c r="G759" s="13"/>
      <c r="H759" s="13"/>
      <c r="I759" s="13"/>
    </row>
    <row r="760">
      <c r="A760" s="16"/>
      <c r="B760" s="17"/>
      <c r="C760" s="18"/>
      <c r="D760" s="11"/>
      <c r="E760" s="11"/>
      <c r="F760" s="12"/>
      <c r="G760" s="13"/>
      <c r="H760" s="13"/>
      <c r="I760" s="13"/>
    </row>
    <row r="761">
      <c r="A761" s="16"/>
      <c r="B761" s="17"/>
      <c r="C761" s="18"/>
      <c r="D761" s="11"/>
      <c r="E761" s="11"/>
      <c r="F761" s="12"/>
      <c r="G761" s="13"/>
      <c r="H761" s="13"/>
      <c r="I761" s="13"/>
    </row>
    <row r="762">
      <c r="A762" s="16"/>
      <c r="B762" s="17"/>
      <c r="C762" s="18"/>
      <c r="D762" s="11"/>
      <c r="E762" s="11"/>
      <c r="F762" s="12"/>
      <c r="G762" s="13"/>
      <c r="H762" s="13"/>
      <c r="I762" s="13"/>
    </row>
    <row r="763">
      <c r="A763" s="16"/>
      <c r="B763" s="17"/>
      <c r="C763" s="18"/>
      <c r="D763" s="11"/>
      <c r="E763" s="11"/>
      <c r="F763" s="12"/>
      <c r="G763" s="13"/>
      <c r="H763" s="13"/>
      <c r="I763" s="13"/>
    </row>
    <row r="764">
      <c r="A764" s="16"/>
      <c r="B764" s="17"/>
      <c r="C764" s="18"/>
      <c r="D764" s="11"/>
      <c r="E764" s="11"/>
      <c r="F764" s="12"/>
      <c r="G764" s="13"/>
      <c r="H764" s="13"/>
      <c r="I764" s="13"/>
    </row>
    <row r="765">
      <c r="A765" s="16"/>
      <c r="B765" s="17"/>
      <c r="C765" s="18"/>
      <c r="D765" s="11"/>
      <c r="E765" s="11"/>
      <c r="F765" s="12"/>
      <c r="G765" s="13"/>
      <c r="H765" s="13"/>
      <c r="I765" s="13"/>
    </row>
    <row r="766">
      <c r="A766" s="16"/>
      <c r="B766" s="17"/>
      <c r="C766" s="18"/>
      <c r="D766" s="11"/>
      <c r="E766" s="11"/>
      <c r="F766" s="12"/>
      <c r="G766" s="13"/>
      <c r="H766" s="13"/>
      <c r="I766" s="13"/>
    </row>
    <row r="767">
      <c r="A767" s="16"/>
      <c r="B767" s="17"/>
      <c r="C767" s="18"/>
      <c r="D767" s="11"/>
      <c r="E767" s="11"/>
      <c r="F767" s="12"/>
      <c r="G767" s="13"/>
      <c r="H767" s="13"/>
      <c r="I767" s="13"/>
    </row>
    <row r="768">
      <c r="A768" s="16"/>
      <c r="B768" s="17"/>
      <c r="C768" s="18"/>
      <c r="D768" s="11"/>
      <c r="E768" s="11"/>
      <c r="F768" s="12"/>
      <c r="G768" s="13"/>
      <c r="H768" s="13"/>
      <c r="I768" s="13"/>
    </row>
    <row r="769">
      <c r="A769" s="16"/>
      <c r="B769" s="17"/>
      <c r="C769" s="18"/>
      <c r="D769" s="11"/>
      <c r="E769" s="11"/>
      <c r="F769" s="12"/>
      <c r="G769" s="13"/>
      <c r="H769" s="13"/>
      <c r="I769" s="13"/>
    </row>
    <row r="770">
      <c r="A770" s="16"/>
      <c r="B770" s="17"/>
      <c r="C770" s="18"/>
      <c r="D770" s="11"/>
      <c r="E770" s="11"/>
      <c r="F770" s="12"/>
      <c r="G770" s="13"/>
      <c r="H770" s="13"/>
      <c r="I770" s="13"/>
    </row>
    <row r="771">
      <c r="A771" s="16"/>
      <c r="B771" s="17"/>
      <c r="C771" s="18"/>
      <c r="D771" s="11"/>
      <c r="E771" s="11"/>
      <c r="F771" s="12"/>
      <c r="G771" s="13"/>
      <c r="H771" s="13"/>
      <c r="I771" s="13"/>
    </row>
    <row r="772">
      <c r="A772" s="16"/>
      <c r="B772" s="17"/>
      <c r="C772" s="18"/>
      <c r="D772" s="11"/>
      <c r="E772" s="11"/>
      <c r="F772" s="12"/>
      <c r="G772" s="13"/>
      <c r="H772" s="13"/>
      <c r="I772" s="13"/>
    </row>
    <row r="773">
      <c r="A773" s="16"/>
      <c r="B773" s="17"/>
      <c r="C773" s="18"/>
      <c r="D773" s="11"/>
      <c r="E773" s="11"/>
      <c r="F773" s="12"/>
      <c r="G773" s="13"/>
      <c r="H773" s="13"/>
      <c r="I773" s="13"/>
    </row>
    <row r="774">
      <c r="A774" s="16"/>
      <c r="B774" s="17"/>
      <c r="C774" s="18"/>
      <c r="D774" s="11"/>
      <c r="E774" s="11"/>
      <c r="F774" s="12"/>
      <c r="G774" s="13"/>
      <c r="H774" s="13"/>
      <c r="I774" s="13"/>
    </row>
    <row r="775">
      <c r="A775" s="16"/>
      <c r="B775" s="17"/>
      <c r="C775" s="18"/>
      <c r="D775" s="11"/>
      <c r="E775" s="11"/>
      <c r="F775" s="12"/>
      <c r="G775" s="13"/>
      <c r="H775" s="13"/>
      <c r="I775" s="13"/>
    </row>
    <row r="776">
      <c r="A776" s="16"/>
      <c r="B776" s="17"/>
      <c r="C776" s="18"/>
      <c r="D776" s="11"/>
      <c r="E776" s="11"/>
      <c r="F776" s="12"/>
      <c r="G776" s="13"/>
      <c r="H776" s="13"/>
      <c r="I776" s="13"/>
    </row>
    <row r="777">
      <c r="A777" s="16"/>
      <c r="B777" s="17"/>
      <c r="C777" s="18"/>
      <c r="D777" s="11"/>
      <c r="E777" s="11"/>
      <c r="F777" s="12"/>
      <c r="G777" s="13"/>
      <c r="H777" s="13"/>
      <c r="I777" s="13"/>
    </row>
    <row r="778">
      <c r="A778" s="16"/>
      <c r="B778" s="17"/>
      <c r="C778" s="18"/>
      <c r="D778" s="11"/>
      <c r="E778" s="11"/>
      <c r="F778" s="12"/>
      <c r="G778" s="13"/>
      <c r="H778" s="13"/>
      <c r="I778" s="13"/>
    </row>
    <row r="779">
      <c r="A779" s="16"/>
      <c r="B779" s="17"/>
      <c r="C779" s="18"/>
      <c r="D779" s="11"/>
      <c r="E779" s="11"/>
      <c r="F779" s="12"/>
      <c r="G779" s="13"/>
      <c r="H779" s="13"/>
      <c r="I779" s="13"/>
    </row>
    <row r="780">
      <c r="A780" s="16"/>
      <c r="B780" s="17"/>
      <c r="C780" s="18"/>
      <c r="D780" s="11"/>
      <c r="E780" s="11"/>
      <c r="F780" s="12"/>
      <c r="G780" s="13"/>
      <c r="H780" s="13"/>
      <c r="I780" s="13"/>
    </row>
    <row r="781">
      <c r="A781" s="16"/>
      <c r="B781" s="17"/>
      <c r="C781" s="18"/>
      <c r="D781" s="11"/>
      <c r="E781" s="11"/>
      <c r="F781" s="12"/>
      <c r="G781" s="13"/>
      <c r="H781" s="13"/>
      <c r="I781" s="13"/>
    </row>
    <row r="782">
      <c r="A782" s="16"/>
      <c r="B782" s="17"/>
      <c r="C782" s="18"/>
      <c r="D782" s="11"/>
      <c r="E782" s="11"/>
      <c r="F782" s="12"/>
      <c r="G782" s="13"/>
      <c r="H782" s="13"/>
      <c r="I782" s="13"/>
    </row>
    <row r="783">
      <c r="A783" s="16"/>
      <c r="B783" s="17"/>
      <c r="C783" s="18"/>
      <c r="D783" s="11"/>
      <c r="E783" s="11"/>
      <c r="F783" s="12"/>
      <c r="G783" s="13"/>
      <c r="H783" s="13"/>
      <c r="I783" s="13"/>
    </row>
    <row r="784">
      <c r="A784" s="16"/>
      <c r="B784" s="17"/>
      <c r="C784" s="18"/>
      <c r="D784" s="11"/>
      <c r="E784" s="11"/>
      <c r="F784" s="12"/>
      <c r="G784" s="13"/>
      <c r="H784" s="13"/>
      <c r="I784" s="13"/>
    </row>
    <row r="785">
      <c r="A785" s="16"/>
      <c r="B785" s="17"/>
      <c r="C785" s="18"/>
      <c r="D785" s="11"/>
      <c r="E785" s="11"/>
      <c r="F785" s="12"/>
      <c r="G785" s="13"/>
      <c r="H785" s="13"/>
      <c r="I785" s="13"/>
    </row>
    <row r="786">
      <c r="A786" s="16"/>
      <c r="B786" s="17"/>
      <c r="C786" s="18"/>
      <c r="D786" s="11"/>
      <c r="E786" s="11"/>
      <c r="F786" s="12"/>
      <c r="G786" s="13"/>
      <c r="H786" s="13"/>
      <c r="I786" s="13"/>
    </row>
    <row r="787">
      <c r="A787" s="16"/>
      <c r="B787" s="17"/>
      <c r="C787" s="18"/>
      <c r="D787" s="11"/>
      <c r="E787" s="11"/>
      <c r="F787" s="12"/>
      <c r="G787" s="13"/>
      <c r="H787" s="13"/>
      <c r="I787" s="13"/>
    </row>
    <row r="788">
      <c r="A788" s="16"/>
      <c r="B788" s="17"/>
      <c r="C788" s="18"/>
      <c r="D788" s="11"/>
      <c r="E788" s="11"/>
      <c r="F788" s="12"/>
      <c r="G788" s="13"/>
      <c r="H788" s="13"/>
      <c r="I788" s="13"/>
    </row>
    <row r="789">
      <c r="A789" s="16"/>
      <c r="B789" s="17"/>
      <c r="C789" s="18"/>
      <c r="D789" s="11"/>
      <c r="E789" s="11"/>
      <c r="F789" s="12"/>
      <c r="G789" s="13"/>
      <c r="H789" s="13"/>
      <c r="I789" s="13"/>
    </row>
    <row r="790">
      <c r="A790" s="16"/>
      <c r="B790" s="17"/>
      <c r="C790" s="18"/>
      <c r="D790" s="11"/>
      <c r="E790" s="11"/>
      <c r="F790" s="12"/>
      <c r="G790" s="13"/>
      <c r="H790" s="13"/>
      <c r="I790" s="13"/>
    </row>
    <row r="791">
      <c r="A791" s="16"/>
      <c r="B791" s="17"/>
      <c r="C791" s="18"/>
      <c r="D791" s="11"/>
      <c r="E791" s="11"/>
      <c r="F791" s="12"/>
      <c r="G791" s="13"/>
      <c r="H791" s="13"/>
      <c r="I791" s="13"/>
    </row>
    <row r="792">
      <c r="A792" s="16"/>
      <c r="B792" s="17"/>
      <c r="C792" s="18"/>
      <c r="D792" s="11"/>
      <c r="E792" s="11"/>
      <c r="F792" s="12"/>
      <c r="G792" s="13"/>
      <c r="H792" s="13"/>
      <c r="I792" s="13"/>
    </row>
    <row r="793">
      <c r="A793" s="16"/>
      <c r="B793" s="17"/>
      <c r="C793" s="18"/>
      <c r="D793" s="11"/>
      <c r="E793" s="11"/>
      <c r="F793" s="12"/>
      <c r="G793" s="13"/>
      <c r="H793" s="13"/>
      <c r="I793" s="13"/>
    </row>
    <row r="794">
      <c r="A794" s="16"/>
      <c r="B794" s="17"/>
      <c r="C794" s="18"/>
      <c r="D794" s="11"/>
      <c r="E794" s="11"/>
      <c r="F794" s="12"/>
      <c r="G794" s="13"/>
      <c r="H794" s="13"/>
      <c r="I794" s="13"/>
    </row>
    <row r="795">
      <c r="A795" s="16"/>
      <c r="B795" s="17"/>
      <c r="C795" s="18"/>
      <c r="D795" s="11"/>
      <c r="E795" s="11"/>
      <c r="F795" s="12"/>
      <c r="G795" s="13"/>
      <c r="H795" s="13"/>
      <c r="I795" s="13"/>
    </row>
    <row r="796">
      <c r="A796" s="16"/>
      <c r="B796" s="17"/>
      <c r="C796" s="18"/>
      <c r="D796" s="11"/>
      <c r="E796" s="11"/>
      <c r="F796" s="12"/>
      <c r="G796" s="13"/>
      <c r="H796" s="13"/>
      <c r="I796" s="13"/>
    </row>
    <row r="797">
      <c r="A797" s="16"/>
      <c r="B797" s="17"/>
      <c r="C797" s="18"/>
      <c r="D797" s="11"/>
      <c r="E797" s="11"/>
      <c r="F797" s="12"/>
      <c r="G797" s="13"/>
      <c r="H797" s="13"/>
      <c r="I797" s="13"/>
    </row>
    <row r="798">
      <c r="A798" s="16"/>
      <c r="B798" s="17"/>
      <c r="C798" s="18"/>
      <c r="D798" s="11"/>
      <c r="E798" s="11"/>
      <c r="F798" s="12"/>
      <c r="G798" s="13"/>
      <c r="H798" s="13"/>
      <c r="I798" s="13"/>
    </row>
    <row r="799">
      <c r="A799" s="16"/>
      <c r="B799" s="17"/>
      <c r="C799" s="18"/>
      <c r="D799" s="11"/>
      <c r="E799" s="11"/>
      <c r="F799" s="12"/>
      <c r="G799" s="13"/>
      <c r="H799" s="13"/>
      <c r="I799" s="13"/>
    </row>
    <row r="800">
      <c r="A800" s="16"/>
      <c r="B800" s="17"/>
      <c r="C800" s="18"/>
      <c r="D800" s="11"/>
      <c r="E800" s="11"/>
      <c r="F800" s="12"/>
      <c r="G800" s="13"/>
      <c r="H800" s="13"/>
      <c r="I800" s="13"/>
    </row>
    <row r="801">
      <c r="A801" s="16"/>
      <c r="B801" s="17"/>
      <c r="C801" s="18"/>
      <c r="D801" s="11"/>
      <c r="E801" s="11"/>
      <c r="F801" s="12"/>
      <c r="G801" s="13"/>
      <c r="H801" s="13"/>
      <c r="I801" s="13"/>
    </row>
    <row r="802">
      <c r="A802" s="16"/>
      <c r="B802" s="17"/>
      <c r="C802" s="18"/>
      <c r="D802" s="11"/>
      <c r="E802" s="11"/>
      <c r="F802" s="12"/>
      <c r="G802" s="13"/>
      <c r="H802" s="13"/>
      <c r="I802" s="13"/>
    </row>
    <row r="803">
      <c r="A803" s="16"/>
      <c r="B803" s="17"/>
      <c r="C803" s="18"/>
      <c r="D803" s="11"/>
      <c r="E803" s="11"/>
      <c r="F803" s="12"/>
      <c r="G803" s="13"/>
      <c r="H803" s="13"/>
      <c r="I803" s="13"/>
    </row>
    <row r="804">
      <c r="A804" s="16"/>
      <c r="B804" s="17"/>
      <c r="C804" s="18"/>
      <c r="D804" s="11"/>
      <c r="E804" s="11"/>
      <c r="F804" s="12"/>
      <c r="G804" s="13"/>
      <c r="H804" s="13"/>
      <c r="I804" s="13"/>
    </row>
    <row r="805">
      <c r="A805" s="16"/>
      <c r="B805" s="17"/>
      <c r="C805" s="18"/>
      <c r="D805" s="11"/>
      <c r="E805" s="11"/>
      <c r="F805" s="12"/>
      <c r="G805" s="13"/>
      <c r="H805" s="13"/>
      <c r="I805" s="13"/>
    </row>
    <row r="806">
      <c r="A806" s="16"/>
      <c r="B806" s="17"/>
      <c r="C806" s="18"/>
      <c r="D806" s="11"/>
      <c r="E806" s="11"/>
      <c r="F806" s="12"/>
      <c r="G806" s="13"/>
      <c r="H806" s="13"/>
      <c r="I806" s="13"/>
    </row>
    <row r="807">
      <c r="A807" s="16"/>
      <c r="B807" s="17"/>
      <c r="C807" s="18"/>
      <c r="D807" s="11"/>
      <c r="E807" s="11"/>
      <c r="F807" s="12"/>
      <c r="G807" s="13"/>
      <c r="H807" s="13"/>
      <c r="I807" s="13"/>
    </row>
    <row r="808">
      <c r="A808" s="16"/>
      <c r="B808" s="17"/>
      <c r="C808" s="18"/>
      <c r="D808" s="11"/>
      <c r="E808" s="11"/>
      <c r="F808" s="12"/>
      <c r="G808" s="13"/>
      <c r="H808" s="13"/>
      <c r="I808" s="13"/>
    </row>
    <row r="809">
      <c r="A809" s="16"/>
      <c r="B809" s="17"/>
      <c r="C809" s="18"/>
      <c r="D809" s="11"/>
      <c r="E809" s="11"/>
      <c r="F809" s="12"/>
      <c r="G809" s="13"/>
      <c r="H809" s="13"/>
      <c r="I809" s="13"/>
    </row>
    <row r="810">
      <c r="A810" s="16"/>
      <c r="B810" s="17"/>
      <c r="C810" s="18"/>
      <c r="D810" s="11"/>
      <c r="E810" s="11"/>
      <c r="F810" s="12"/>
      <c r="G810" s="13"/>
      <c r="H810" s="13"/>
      <c r="I810" s="13"/>
    </row>
    <row r="811">
      <c r="A811" s="16"/>
      <c r="B811" s="17"/>
      <c r="C811" s="18"/>
      <c r="D811" s="11"/>
      <c r="E811" s="11"/>
      <c r="F811" s="12"/>
      <c r="G811" s="13"/>
      <c r="H811" s="13"/>
      <c r="I811" s="13"/>
    </row>
    <row r="812">
      <c r="A812" s="16"/>
      <c r="B812" s="17"/>
      <c r="C812" s="18"/>
      <c r="D812" s="11"/>
      <c r="E812" s="11"/>
      <c r="F812" s="12"/>
      <c r="G812" s="13"/>
      <c r="H812" s="13"/>
      <c r="I812" s="13"/>
    </row>
    <row r="813">
      <c r="A813" s="16"/>
      <c r="B813" s="17"/>
      <c r="C813" s="18"/>
      <c r="D813" s="11"/>
      <c r="E813" s="11"/>
      <c r="F813" s="12"/>
      <c r="G813" s="13"/>
      <c r="H813" s="13"/>
      <c r="I813" s="13"/>
    </row>
    <row r="814">
      <c r="A814" s="16"/>
      <c r="B814" s="17"/>
      <c r="C814" s="18"/>
      <c r="D814" s="11"/>
      <c r="E814" s="11"/>
      <c r="F814" s="12"/>
      <c r="G814" s="13"/>
      <c r="H814" s="13"/>
      <c r="I814" s="13"/>
    </row>
    <row r="815">
      <c r="A815" s="16"/>
      <c r="B815" s="17"/>
      <c r="C815" s="18"/>
      <c r="D815" s="11"/>
      <c r="E815" s="11"/>
      <c r="F815" s="12"/>
      <c r="G815" s="13"/>
      <c r="H815" s="13"/>
      <c r="I815" s="13"/>
    </row>
    <row r="816">
      <c r="A816" s="16"/>
      <c r="B816" s="17"/>
      <c r="C816" s="18"/>
      <c r="D816" s="11"/>
      <c r="E816" s="11"/>
      <c r="F816" s="12"/>
      <c r="G816" s="13"/>
      <c r="H816" s="13"/>
      <c r="I816" s="13"/>
    </row>
    <row r="817">
      <c r="A817" s="16"/>
      <c r="B817" s="17"/>
      <c r="C817" s="18"/>
      <c r="D817" s="11"/>
      <c r="E817" s="11"/>
      <c r="F817" s="12"/>
      <c r="G817" s="13"/>
      <c r="H817" s="13"/>
      <c r="I817" s="13"/>
    </row>
    <row r="818">
      <c r="A818" s="16"/>
      <c r="B818" s="17"/>
      <c r="C818" s="18"/>
      <c r="D818" s="11"/>
      <c r="E818" s="11"/>
      <c r="F818" s="12"/>
      <c r="G818" s="13"/>
      <c r="H818" s="13"/>
      <c r="I818" s="13"/>
    </row>
    <row r="819">
      <c r="A819" s="16"/>
      <c r="B819" s="17"/>
      <c r="C819" s="18"/>
      <c r="D819" s="11"/>
      <c r="E819" s="11"/>
      <c r="F819" s="12"/>
      <c r="G819" s="13"/>
      <c r="H819" s="13"/>
      <c r="I819" s="13"/>
    </row>
    <row r="820">
      <c r="A820" s="16"/>
      <c r="B820" s="17"/>
      <c r="C820" s="18"/>
      <c r="D820" s="11"/>
      <c r="E820" s="11"/>
      <c r="F820" s="12"/>
      <c r="G820" s="13"/>
      <c r="H820" s="13"/>
      <c r="I820" s="13"/>
    </row>
    <row r="821">
      <c r="A821" s="16"/>
      <c r="B821" s="17"/>
      <c r="C821" s="18"/>
      <c r="D821" s="11"/>
      <c r="E821" s="11"/>
      <c r="F821" s="12"/>
      <c r="G821" s="13"/>
      <c r="H821" s="13"/>
      <c r="I821" s="13"/>
    </row>
    <row r="822">
      <c r="A822" s="16"/>
      <c r="B822" s="17"/>
      <c r="C822" s="18"/>
      <c r="D822" s="11"/>
      <c r="E822" s="11"/>
      <c r="F822" s="12"/>
      <c r="G822" s="13"/>
      <c r="H822" s="13"/>
      <c r="I822" s="13"/>
    </row>
    <row r="823">
      <c r="A823" s="16"/>
      <c r="B823" s="17"/>
      <c r="C823" s="18"/>
      <c r="D823" s="11"/>
      <c r="E823" s="11"/>
      <c r="F823" s="12"/>
      <c r="G823" s="13"/>
      <c r="H823" s="13"/>
      <c r="I823" s="13"/>
    </row>
    <row r="824">
      <c r="A824" s="16"/>
      <c r="B824" s="17"/>
      <c r="C824" s="18"/>
      <c r="D824" s="11"/>
      <c r="E824" s="11"/>
      <c r="F824" s="12"/>
      <c r="G824" s="13"/>
      <c r="H824" s="13"/>
      <c r="I824" s="13"/>
    </row>
    <row r="825">
      <c r="A825" s="16"/>
      <c r="B825" s="17"/>
      <c r="C825" s="18"/>
      <c r="D825" s="11"/>
      <c r="E825" s="11"/>
      <c r="F825" s="12"/>
      <c r="G825" s="13"/>
      <c r="H825" s="13"/>
      <c r="I825" s="13"/>
    </row>
    <row r="826">
      <c r="A826" s="16"/>
      <c r="B826" s="17"/>
      <c r="C826" s="18"/>
      <c r="D826" s="11"/>
      <c r="E826" s="11"/>
      <c r="F826" s="12"/>
      <c r="G826" s="13"/>
      <c r="H826" s="13"/>
      <c r="I826" s="13"/>
    </row>
    <row r="827">
      <c r="A827" s="16"/>
      <c r="B827" s="17"/>
      <c r="C827" s="18"/>
      <c r="D827" s="11"/>
      <c r="E827" s="11"/>
      <c r="F827" s="12"/>
      <c r="G827" s="13"/>
      <c r="H827" s="13"/>
      <c r="I827" s="13"/>
    </row>
    <row r="828">
      <c r="A828" s="16"/>
      <c r="B828" s="17"/>
      <c r="C828" s="18"/>
      <c r="D828" s="11"/>
      <c r="E828" s="11"/>
      <c r="F828" s="12"/>
      <c r="G828" s="13"/>
      <c r="H828" s="13"/>
      <c r="I828" s="13"/>
    </row>
    <row r="829">
      <c r="A829" s="16"/>
      <c r="B829" s="17"/>
      <c r="C829" s="18"/>
      <c r="D829" s="11"/>
      <c r="E829" s="11"/>
      <c r="F829" s="12"/>
      <c r="G829" s="13"/>
      <c r="H829" s="13"/>
      <c r="I829" s="13"/>
    </row>
    <row r="830">
      <c r="A830" s="16"/>
      <c r="B830" s="17"/>
      <c r="C830" s="18"/>
      <c r="D830" s="11"/>
      <c r="E830" s="11"/>
      <c r="F830" s="12"/>
      <c r="G830" s="13"/>
      <c r="H830" s="13"/>
      <c r="I830" s="13"/>
    </row>
    <row r="831">
      <c r="A831" s="16"/>
      <c r="B831" s="17"/>
      <c r="C831" s="18"/>
      <c r="D831" s="11"/>
      <c r="E831" s="11"/>
      <c r="F831" s="12"/>
      <c r="G831" s="13"/>
      <c r="H831" s="13"/>
      <c r="I831" s="13"/>
    </row>
    <row r="832">
      <c r="A832" s="16"/>
      <c r="B832" s="17"/>
      <c r="C832" s="18"/>
      <c r="D832" s="11"/>
      <c r="E832" s="11"/>
      <c r="F832" s="12"/>
      <c r="G832" s="13"/>
      <c r="H832" s="13"/>
      <c r="I832" s="13"/>
    </row>
    <row r="833">
      <c r="A833" s="16"/>
      <c r="B833" s="17"/>
      <c r="C833" s="18"/>
      <c r="D833" s="11"/>
      <c r="E833" s="11"/>
      <c r="F833" s="12"/>
      <c r="G833" s="13"/>
      <c r="H833" s="13"/>
      <c r="I833" s="13"/>
    </row>
    <row r="834">
      <c r="A834" s="16"/>
      <c r="B834" s="17"/>
      <c r="C834" s="18"/>
      <c r="D834" s="11"/>
      <c r="E834" s="11"/>
      <c r="F834" s="12"/>
      <c r="G834" s="13"/>
      <c r="H834" s="13"/>
      <c r="I834" s="13"/>
    </row>
    <row r="835">
      <c r="A835" s="16"/>
      <c r="B835" s="17"/>
      <c r="C835" s="18"/>
      <c r="D835" s="11"/>
      <c r="E835" s="11"/>
      <c r="F835" s="12"/>
      <c r="G835" s="13"/>
      <c r="H835" s="13"/>
      <c r="I835" s="13"/>
    </row>
    <row r="836">
      <c r="A836" s="16"/>
      <c r="B836" s="17"/>
      <c r="C836" s="18"/>
      <c r="D836" s="11"/>
      <c r="E836" s="11"/>
      <c r="F836" s="12"/>
      <c r="G836" s="13"/>
      <c r="H836" s="13"/>
      <c r="I836" s="13"/>
    </row>
    <row r="837">
      <c r="A837" s="16"/>
      <c r="B837" s="17"/>
      <c r="C837" s="18"/>
      <c r="D837" s="11"/>
      <c r="E837" s="11"/>
      <c r="F837" s="12"/>
      <c r="G837" s="13"/>
      <c r="H837" s="13"/>
      <c r="I837" s="13"/>
    </row>
    <row r="838">
      <c r="A838" s="16"/>
      <c r="B838" s="17"/>
      <c r="C838" s="18"/>
      <c r="D838" s="11"/>
      <c r="E838" s="11"/>
      <c r="F838" s="12"/>
      <c r="G838" s="13"/>
      <c r="H838" s="13"/>
      <c r="I838" s="13"/>
    </row>
    <row r="839">
      <c r="A839" s="16"/>
      <c r="B839" s="17"/>
      <c r="C839" s="18"/>
      <c r="D839" s="11"/>
      <c r="E839" s="11"/>
      <c r="F839" s="12"/>
      <c r="G839" s="13"/>
      <c r="H839" s="13"/>
      <c r="I839" s="13"/>
    </row>
    <row r="840">
      <c r="A840" s="16"/>
      <c r="B840" s="17"/>
      <c r="C840" s="18"/>
      <c r="D840" s="11"/>
      <c r="E840" s="11"/>
      <c r="F840" s="12"/>
      <c r="G840" s="13"/>
      <c r="H840" s="13"/>
      <c r="I840" s="13"/>
    </row>
    <row r="841">
      <c r="A841" s="16"/>
      <c r="B841" s="17"/>
      <c r="C841" s="18"/>
      <c r="D841" s="11"/>
      <c r="E841" s="11"/>
      <c r="F841" s="12"/>
      <c r="G841" s="13"/>
      <c r="H841" s="13"/>
      <c r="I841" s="13"/>
    </row>
    <row r="842">
      <c r="A842" s="16"/>
      <c r="B842" s="17"/>
      <c r="C842" s="18"/>
      <c r="D842" s="11"/>
      <c r="E842" s="11"/>
      <c r="F842" s="12"/>
      <c r="G842" s="13"/>
      <c r="H842" s="13"/>
      <c r="I842" s="13"/>
    </row>
    <row r="843">
      <c r="A843" s="16"/>
      <c r="B843" s="17"/>
      <c r="C843" s="18"/>
      <c r="D843" s="11"/>
      <c r="E843" s="11"/>
      <c r="F843" s="12"/>
      <c r="G843" s="13"/>
      <c r="H843" s="13"/>
      <c r="I843" s="13"/>
    </row>
    <row r="844">
      <c r="A844" s="16"/>
      <c r="B844" s="17"/>
      <c r="C844" s="18"/>
      <c r="D844" s="11"/>
      <c r="E844" s="11"/>
      <c r="F844" s="12"/>
      <c r="G844" s="13"/>
      <c r="H844" s="13"/>
      <c r="I844" s="13"/>
    </row>
    <row r="845">
      <c r="A845" s="16"/>
      <c r="B845" s="17"/>
      <c r="C845" s="18"/>
      <c r="D845" s="11"/>
      <c r="E845" s="11"/>
      <c r="F845" s="12"/>
      <c r="G845" s="13"/>
      <c r="H845" s="13"/>
      <c r="I845" s="13"/>
    </row>
    <row r="846">
      <c r="A846" s="16"/>
      <c r="B846" s="17"/>
      <c r="C846" s="18"/>
      <c r="D846" s="11"/>
      <c r="E846" s="11"/>
      <c r="F846" s="12"/>
      <c r="G846" s="13"/>
      <c r="H846" s="13"/>
      <c r="I846" s="13"/>
    </row>
    <row r="847">
      <c r="A847" s="16"/>
      <c r="B847" s="17"/>
      <c r="C847" s="18"/>
      <c r="D847" s="11"/>
      <c r="E847" s="11"/>
      <c r="F847" s="12"/>
      <c r="G847" s="13"/>
      <c r="H847" s="13"/>
      <c r="I847" s="13"/>
    </row>
    <row r="848">
      <c r="A848" s="16"/>
      <c r="B848" s="17"/>
      <c r="C848" s="18"/>
      <c r="D848" s="11"/>
      <c r="E848" s="11"/>
      <c r="F848" s="12"/>
      <c r="G848" s="13"/>
      <c r="H848" s="13"/>
      <c r="I848" s="13"/>
    </row>
    <row r="849">
      <c r="A849" s="16"/>
      <c r="B849" s="17"/>
      <c r="C849" s="18"/>
      <c r="D849" s="11"/>
      <c r="E849" s="11"/>
      <c r="F849" s="12"/>
      <c r="G849" s="13"/>
      <c r="H849" s="13"/>
      <c r="I849" s="13"/>
    </row>
    <row r="850">
      <c r="A850" s="16"/>
      <c r="B850" s="17"/>
      <c r="C850" s="18"/>
      <c r="D850" s="11"/>
      <c r="E850" s="11"/>
      <c r="F850" s="12"/>
      <c r="G850" s="13"/>
      <c r="H850" s="13"/>
      <c r="I850" s="13"/>
    </row>
    <row r="851">
      <c r="A851" s="16"/>
      <c r="B851" s="17"/>
      <c r="C851" s="18"/>
      <c r="D851" s="11"/>
      <c r="E851" s="11"/>
      <c r="F851" s="12"/>
      <c r="G851" s="13"/>
      <c r="H851" s="13"/>
      <c r="I851" s="13"/>
    </row>
    <row r="852">
      <c r="A852" s="16"/>
      <c r="B852" s="17"/>
      <c r="C852" s="18"/>
      <c r="D852" s="11"/>
      <c r="E852" s="11"/>
      <c r="F852" s="12"/>
      <c r="G852" s="13"/>
      <c r="H852" s="13"/>
      <c r="I852" s="13"/>
    </row>
    <row r="853">
      <c r="A853" s="16"/>
      <c r="B853" s="17"/>
      <c r="C853" s="18"/>
      <c r="D853" s="11"/>
      <c r="E853" s="11"/>
      <c r="F853" s="12"/>
      <c r="G853" s="13"/>
      <c r="H853" s="13"/>
      <c r="I853" s="13"/>
    </row>
    <row r="854">
      <c r="A854" s="16"/>
      <c r="B854" s="17"/>
      <c r="C854" s="18"/>
      <c r="D854" s="11"/>
      <c r="E854" s="11"/>
      <c r="F854" s="12"/>
      <c r="G854" s="13"/>
      <c r="H854" s="13"/>
      <c r="I854" s="13"/>
    </row>
    <row r="855">
      <c r="A855" s="16"/>
      <c r="B855" s="17"/>
      <c r="C855" s="18"/>
      <c r="D855" s="11"/>
      <c r="E855" s="11"/>
      <c r="F855" s="12"/>
      <c r="G855" s="13"/>
      <c r="H855" s="13"/>
      <c r="I855" s="13"/>
    </row>
    <row r="856">
      <c r="A856" s="16"/>
      <c r="B856" s="17"/>
      <c r="C856" s="18"/>
      <c r="D856" s="11"/>
      <c r="E856" s="11"/>
      <c r="F856" s="12"/>
      <c r="G856" s="13"/>
      <c r="H856" s="13"/>
      <c r="I856" s="13"/>
    </row>
    <row r="857">
      <c r="A857" s="16"/>
      <c r="B857" s="17"/>
      <c r="C857" s="18"/>
      <c r="D857" s="11"/>
      <c r="E857" s="11"/>
      <c r="F857" s="12"/>
      <c r="G857" s="13"/>
      <c r="H857" s="13"/>
      <c r="I857" s="13"/>
    </row>
    <row r="858">
      <c r="A858" s="16"/>
      <c r="B858" s="17"/>
      <c r="C858" s="18"/>
      <c r="D858" s="11"/>
      <c r="E858" s="11"/>
      <c r="F858" s="12"/>
      <c r="G858" s="13"/>
      <c r="H858" s="13"/>
      <c r="I858" s="13"/>
    </row>
    <row r="859">
      <c r="A859" s="16"/>
      <c r="B859" s="17"/>
      <c r="C859" s="18"/>
      <c r="D859" s="11"/>
      <c r="E859" s="11"/>
      <c r="F859" s="12"/>
      <c r="G859" s="13"/>
      <c r="H859" s="13"/>
      <c r="I859" s="13"/>
    </row>
    <row r="860">
      <c r="A860" s="16"/>
      <c r="B860" s="17"/>
      <c r="C860" s="18"/>
      <c r="D860" s="11"/>
      <c r="E860" s="11"/>
      <c r="F860" s="12"/>
      <c r="G860" s="13"/>
      <c r="H860" s="13"/>
      <c r="I860" s="13"/>
    </row>
    <row r="861">
      <c r="A861" s="16"/>
      <c r="B861" s="17"/>
      <c r="C861" s="18"/>
      <c r="D861" s="11"/>
      <c r="E861" s="11"/>
      <c r="F861" s="12"/>
      <c r="G861" s="13"/>
      <c r="H861" s="13"/>
      <c r="I861" s="13"/>
    </row>
    <row r="862">
      <c r="A862" s="16"/>
      <c r="B862" s="17"/>
      <c r="C862" s="18"/>
      <c r="D862" s="11"/>
      <c r="E862" s="11"/>
      <c r="F862" s="12"/>
      <c r="G862" s="13"/>
      <c r="H862" s="13"/>
      <c r="I862" s="13"/>
    </row>
    <row r="863">
      <c r="A863" s="16"/>
      <c r="B863" s="17"/>
      <c r="C863" s="18"/>
      <c r="D863" s="11"/>
      <c r="E863" s="11"/>
      <c r="F863" s="12"/>
      <c r="G863" s="13"/>
      <c r="H863" s="13"/>
      <c r="I863" s="13"/>
    </row>
    <row r="864">
      <c r="A864" s="16"/>
      <c r="B864" s="17"/>
      <c r="C864" s="18"/>
      <c r="D864" s="11"/>
      <c r="E864" s="11"/>
      <c r="F864" s="12"/>
      <c r="G864" s="13"/>
      <c r="H864" s="13"/>
      <c r="I864" s="13"/>
    </row>
    <row r="865">
      <c r="A865" s="16"/>
      <c r="B865" s="17"/>
      <c r="C865" s="18"/>
      <c r="D865" s="11"/>
      <c r="E865" s="11"/>
      <c r="F865" s="12"/>
      <c r="G865" s="13"/>
      <c r="H865" s="13"/>
      <c r="I865" s="13"/>
    </row>
    <row r="866">
      <c r="A866" s="16"/>
      <c r="B866" s="17"/>
      <c r="C866" s="18"/>
      <c r="D866" s="11"/>
      <c r="E866" s="11"/>
      <c r="F866" s="12"/>
      <c r="G866" s="13"/>
      <c r="H866" s="13"/>
      <c r="I866" s="13"/>
    </row>
    <row r="867">
      <c r="A867" s="16"/>
      <c r="B867" s="17"/>
      <c r="C867" s="18"/>
      <c r="D867" s="11"/>
      <c r="E867" s="11"/>
      <c r="F867" s="12"/>
      <c r="G867" s="13"/>
      <c r="H867" s="13"/>
      <c r="I867" s="13"/>
    </row>
    <row r="868">
      <c r="A868" s="16"/>
      <c r="B868" s="17"/>
      <c r="C868" s="18"/>
      <c r="D868" s="11"/>
      <c r="E868" s="11"/>
      <c r="F868" s="12"/>
      <c r="G868" s="13"/>
      <c r="H868" s="13"/>
      <c r="I868" s="13"/>
    </row>
    <row r="869">
      <c r="A869" s="16"/>
      <c r="B869" s="17"/>
      <c r="C869" s="18"/>
      <c r="D869" s="11"/>
      <c r="E869" s="11"/>
      <c r="F869" s="12"/>
      <c r="G869" s="13"/>
      <c r="H869" s="13"/>
      <c r="I869" s="13"/>
    </row>
    <row r="870">
      <c r="A870" s="16"/>
      <c r="B870" s="17"/>
      <c r="C870" s="18"/>
      <c r="D870" s="11"/>
      <c r="E870" s="11"/>
      <c r="F870" s="12"/>
      <c r="G870" s="13"/>
      <c r="H870" s="13"/>
      <c r="I870" s="13"/>
    </row>
    <row r="871">
      <c r="A871" s="16"/>
      <c r="B871" s="17"/>
      <c r="C871" s="18"/>
      <c r="D871" s="11"/>
      <c r="E871" s="11"/>
      <c r="F871" s="12"/>
      <c r="G871" s="13"/>
      <c r="H871" s="13"/>
      <c r="I871" s="13"/>
    </row>
    <row r="872">
      <c r="A872" s="16"/>
      <c r="B872" s="17"/>
      <c r="C872" s="18"/>
      <c r="D872" s="11"/>
      <c r="E872" s="11"/>
      <c r="F872" s="12"/>
      <c r="G872" s="13"/>
      <c r="H872" s="13"/>
      <c r="I872" s="13"/>
    </row>
    <row r="873">
      <c r="A873" s="16"/>
      <c r="B873" s="17"/>
      <c r="C873" s="18"/>
      <c r="D873" s="11"/>
      <c r="E873" s="11"/>
      <c r="F873" s="12"/>
      <c r="G873" s="13"/>
      <c r="H873" s="13"/>
      <c r="I873" s="13"/>
    </row>
    <row r="874">
      <c r="A874" s="16"/>
      <c r="B874" s="17"/>
      <c r="C874" s="18"/>
      <c r="D874" s="11"/>
      <c r="E874" s="11"/>
      <c r="F874" s="12"/>
      <c r="G874" s="13"/>
      <c r="H874" s="13"/>
      <c r="I874" s="13"/>
    </row>
    <row r="875">
      <c r="A875" s="16"/>
      <c r="B875" s="17"/>
      <c r="C875" s="18"/>
      <c r="D875" s="11"/>
      <c r="E875" s="11"/>
      <c r="F875" s="12"/>
      <c r="G875" s="13"/>
      <c r="H875" s="13"/>
      <c r="I875" s="13"/>
    </row>
    <row r="876">
      <c r="A876" s="16"/>
      <c r="B876" s="17"/>
      <c r="C876" s="18"/>
      <c r="D876" s="11"/>
      <c r="E876" s="11"/>
      <c r="F876" s="12"/>
      <c r="G876" s="13"/>
      <c r="H876" s="13"/>
      <c r="I876" s="13"/>
    </row>
    <row r="877">
      <c r="A877" s="16"/>
      <c r="B877" s="17"/>
      <c r="C877" s="18"/>
      <c r="D877" s="11"/>
      <c r="E877" s="11"/>
      <c r="F877" s="12"/>
      <c r="G877" s="13"/>
      <c r="H877" s="13"/>
      <c r="I877" s="13"/>
    </row>
    <row r="878">
      <c r="A878" s="16"/>
      <c r="B878" s="17"/>
      <c r="C878" s="18"/>
      <c r="D878" s="11"/>
      <c r="E878" s="11"/>
      <c r="F878" s="12"/>
      <c r="G878" s="13"/>
      <c r="H878" s="13"/>
      <c r="I878" s="13"/>
    </row>
    <row r="879">
      <c r="A879" s="16"/>
      <c r="B879" s="17"/>
      <c r="C879" s="18"/>
      <c r="D879" s="11"/>
      <c r="E879" s="11"/>
      <c r="F879" s="12"/>
      <c r="G879" s="13"/>
      <c r="H879" s="13"/>
      <c r="I879" s="13"/>
    </row>
    <row r="880">
      <c r="A880" s="16"/>
      <c r="B880" s="17"/>
      <c r="C880" s="18"/>
      <c r="D880" s="11"/>
      <c r="E880" s="11"/>
      <c r="F880" s="12"/>
      <c r="G880" s="13"/>
      <c r="H880" s="13"/>
      <c r="I880" s="13"/>
    </row>
    <row r="881">
      <c r="A881" s="16"/>
      <c r="B881" s="17"/>
      <c r="C881" s="18"/>
      <c r="D881" s="11"/>
      <c r="E881" s="11"/>
      <c r="F881" s="12"/>
      <c r="G881" s="13"/>
      <c r="H881" s="13"/>
      <c r="I881" s="13"/>
    </row>
    <row r="882">
      <c r="A882" s="16"/>
      <c r="B882" s="17"/>
      <c r="C882" s="18"/>
      <c r="D882" s="11"/>
      <c r="E882" s="11"/>
      <c r="F882" s="12"/>
      <c r="G882" s="13"/>
      <c r="H882" s="13"/>
      <c r="I882" s="13"/>
    </row>
    <row r="883">
      <c r="A883" s="16"/>
      <c r="B883" s="17"/>
      <c r="C883" s="18"/>
      <c r="D883" s="11"/>
      <c r="E883" s="11"/>
      <c r="F883" s="12"/>
      <c r="G883" s="13"/>
      <c r="H883" s="13"/>
      <c r="I883" s="13"/>
    </row>
    <row r="884">
      <c r="A884" s="16"/>
      <c r="B884" s="17"/>
      <c r="C884" s="18"/>
      <c r="D884" s="11"/>
      <c r="E884" s="11"/>
      <c r="F884" s="12"/>
      <c r="G884" s="13"/>
      <c r="H884" s="13"/>
      <c r="I884" s="13"/>
    </row>
    <row r="885">
      <c r="A885" s="16"/>
      <c r="B885" s="17"/>
      <c r="C885" s="18"/>
      <c r="D885" s="11"/>
      <c r="E885" s="11"/>
      <c r="F885" s="12"/>
      <c r="G885" s="13"/>
      <c r="H885" s="13"/>
      <c r="I885" s="13"/>
    </row>
    <row r="886">
      <c r="A886" s="16"/>
      <c r="B886" s="17"/>
      <c r="C886" s="18"/>
      <c r="D886" s="11"/>
      <c r="E886" s="11"/>
      <c r="F886" s="12"/>
      <c r="G886" s="13"/>
      <c r="H886" s="13"/>
      <c r="I886" s="13"/>
    </row>
    <row r="887">
      <c r="A887" s="16"/>
      <c r="B887" s="17"/>
      <c r="C887" s="18"/>
      <c r="D887" s="11"/>
      <c r="E887" s="11"/>
      <c r="F887" s="12"/>
      <c r="G887" s="13"/>
      <c r="H887" s="13"/>
      <c r="I887" s="13"/>
    </row>
    <row r="888">
      <c r="A888" s="16"/>
      <c r="B888" s="17"/>
      <c r="C888" s="18"/>
      <c r="D888" s="11"/>
      <c r="E888" s="11"/>
      <c r="F888" s="12"/>
      <c r="G888" s="13"/>
      <c r="H888" s="13"/>
      <c r="I888" s="13"/>
    </row>
    <row r="889">
      <c r="A889" s="16"/>
      <c r="B889" s="17"/>
      <c r="C889" s="18"/>
      <c r="D889" s="11"/>
      <c r="E889" s="11"/>
      <c r="F889" s="12"/>
      <c r="G889" s="13"/>
      <c r="H889" s="13"/>
      <c r="I889" s="13"/>
    </row>
    <row r="890">
      <c r="A890" s="16"/>
      <c r="B890" s="17"/>
      <c r="C890" s="18"/>
      <c r="D890" s="11"/>
      <c r="E890" s="11"/>
      <c r="F890" s="12"/>
      <c r="G890" s="13"/>
      <c r="H890" s="13"/>
      <c r="I890" s="13"/>
    </row>
    <row r="891">
      <c r="A891" s="16"/>
      <c r="B891" s="17"/>
      <c r="C891" s="18"/>
      <c r="D891" s="11"/>
      <c r="E891" s="11"/>
      <c r="F891" s="12"/>
      <c r="G891" s="13"/>
      <c r="H891" s="13"/>
      <c r="I891" s="13"/>
    </row>
    <row r="892">
      <c r="A892" s="16"/>
      <c r="B892" s="17"/>
      <c r="C892" s="18"/>
      <c r="D892" s="11"/>
      <c r="E892" s="11"/>
      <c r="F892" s="12"/>
      <c r="G892" s="13"/>
      <c r="H892" s="13"/>
      <c r="I892" s="13"/>
    </row>
    <row r="893">
      <c r="A893" s="16"/>
      <c r="B893" s="17"/>
      <c r="C893" s="18"/>
      <c r="D893" s="11"/>
      <c r="E893" s="11"/>
      <c r="F893" s="12"/>
      <c r="G893" s="13"/>
      <c r="H893" s="13"/>
      <c r="I893" s="13"/>
    </row>
    <row r="894">
      <c r="A894" s="16"/>
      <c r="B894" s="17"/>
      <c r="C894" s="18"/>
      <c r="D894" s="11"/>
      <c r="E894" s="11"/>
      <c r="F894" s="12"/>
      <c r="G894" s="13"/>
      <c r="H894" s="13"/>
      <c r="I894" s="13"/>
    </row>
    <row r="895">
      <c r="A895" s="16"/>
      <c r="B895" s="17"/>
      <c r="C895" s="18"/>
      <c r="D895" s="11"/>
      <c r="E895" s="11"/>
      <c r="F895" s="12"/>
      <c r="G895" s="13"/>
      <c r="H895" s="13"/>
      <c r="I895" s="13"/>
    </row>
    <row r="896">
      <c r="A896" s="16"/>
      <c r="B896" s="17"/>
      <c r="C896" s="18"/>
      <c r="D896" s="11"/>
      <c r="E896" s="11"/>
      <c r="F896" s="12"/>
      <c r="G896" s="13"/>
      <c r="H896" s="13"/>
      <c r="I896" s="13"/>
    </row>
    <row r="897">
      <c r="A897" s="16"/>
      <c r="B897" s="17"/>
      <c r="C897" s="18"/>
      <c r="D897" s="11"/>
      <c r="E897" s="11"/>
      <c r="F897" s="12"/>
      <c r="G897" s="13"/>
      <c r="H897" s="13"/>
      <c r="I897" s="13"/>
    </row>
    <row r="898">
      <c r="A898" s="16"/>
      <c r="B898" s="17"/>
      <c r="C898" s="18"/>
      <c r="D898" s="11"/>
      <c r="E898" s="11"/>
      <c r="F898" s="12"/>
      <c r="G898" s="13"/>
      <c r="H898" s="13"/>
      <c r="I898" s="13"/>
    </row>
    <row r="899">
      <c r="A899" s="16"/>
      <c r="B899" s="17"/>
      <c r="C899" s="18"/>
      <c r="D899" s="11"/>
      <c r="E899" s="11"/>
      <c r="F899" s="12"/>
      <c r="G899" s="13"/>
      <c r="H899" s="13"/>
      <c r="I899" s="13"/>
    </row>
    <row r="900">
      <c r="A900" s="16"/>
      <c r="B900" s="17"/>
      <c r="C900" s="18"/>
      <c r="D900" s="11"/>
      <c r="E900" s="11"/>
      <c r="F900" s="12"/>
      <c r="G900" s="13"/>
      <c r="H900" s="13"/>
      <c r="I900" s="13"/>
    </row>
    <row r="901">
      <c r="A901" s="16"/>
      <c r="B901" s="17"/>
      <c r="C901" s="18"/>
      <c r="D901" s="11"/>
      <c r="E901" s="11"/>
      <c r="F901" s="12"/>
      <c r="G901" s="13"/>
      <c r="H901" s="13"/>
      <c r="I901" s="13"/>
    </row>
    <row r="902">
      <c r="A902" s="16"/>
      <c r="B902" s="17"/>
      <c r="C902" s="18"/>
      <c r="D902" s="11"/>
      <c r="E902" s="11"/>
      <c r="F902" s="12"/>
      <c r="G902" s="13"/>
      <c r="H902" s="13"/>
      <c r="I902" s="13"/>
    </row>
    <row r="903">
      <c r="A903" s="16"/>
      <c r="B903" s="17"/>
      <c r="C903" s="18"/>
      <c r="D903" s="11"/>
      <c r="E903" s="11"/>
      <c r="F903" s="12"/>
      <c r="G903" s="13"/>
      <c r="H903" s="13"/>
      <c r="I903" s="13"/>
    </row>
    <row r="904">
      <c r="A904" s="16"/>
      <c r="B904" s="17"/>
      <c r="C904" s="18"/>
      <c r="D904" s="11"/>
      <c r="E904" s="11"/>
      <c r="F904" s="12"/>
      <c r="G904" s="13"/>
      <c r="H904" s="13"/>
      <c r="I904" s="13"/>
    </row>
    <row r="905">
      <c r="A905" s="16"/>
      <c r="B905" s="17"/>
      <c r="C905" s="18"/>
      <c r="D905" s="11"/>
      <c r="E905" s="11"/>
      <c r="F905" s="12"/>
      <c r="G905" s="13"/>
      <c r="H905" s="13"/>
      <c r="I905" s="13"/>
    </row>
    <row r="906">
      <c r="A906" s="16"/>
      <c r="B906" s="17"/>
      <c r="C906" s="18"/>
      <c r="D906" s="11"/>
      <c r="E906" s="11"/>
      <c r="F906" s="12"/>
      <c r="G906" s="13"/>
      <c r="H906" s="13"/>
      <c r="I906" s="13"/>
    </row>
    <row r="907">
      <c r="A907" s="16"/>
      <c r="B907" s="17"/>
      <c r="C907" s="18"/>
      <c r="D907" s="11"/>
      <c r="E907" s="11"/>
      <c r="F907" s="12"/>
      <c r="G907" s="13"/>
      <c r="H907" s="13"/>
      <c r="I907" s="13"/>
    </row>
    <row r="908">
      <c r="A908" s="16"/>
      <c r="B908" s="17"/>
      <c r="C908" s="18"/>
      <c r="D908" s="11"/>
      <c r="E908" s="11"/>
      <c r="F908" s="12"/>
      <c r="G908" s="13"/>
      <c r="H908" s="13"/>
      <c r="I908" s="13"/>
    </row>
    <row r="909">
      <c r="A909" s="16"/>
      <c r="B909" s="17"/>
      <c r="C909" s="18"/>
      <c r="D909" s="11"/>
      <c r="E909" s="11"/>
      <c r="F909" s="12"/>
      <c r="G909" s="13"/>
      <c r="H909" s="13"/>
      <c r="I909" s="13"/>
    </row>
    <row r="910">
      <c r="A910" s="16"/>
      <c r="B910" s="17"/>
      <c r="C910" s="18"/>
      <c r="D910" s="11"/>
      <c r="E910" s="11"/>
      <c r="F910" s="12"/>
      <c r="G910" s="13"/>
      <c r="H910" s="13"/>
      <c r="I910" s="13"/>
    </row>
    <row r="911">
      <c r="A911" s="16"/>
      <c r="B911" s="17"/>
      <c r="C911" s="18"/>
      <c r="D911" s="11"/>
      <c r="E911" s="11"/>
      <c r="F911" s="12"/>
      <c r="G911" s="13"/>
      <c r="H911" s="13"/>
      <c r="I911" s="13"/>
    </row>
    <row r="912">
      <c r="A912" s="16"/>
      <c r="B912" s="17"/>
      <c r="C912" s="18"/>
      <c r="D912" s="11"/>
      <c r="E912" s="11"/>
      <c r="F912" s="12"/>
      <c r="G912" s="13"/>
      <c r="H912" s="13"/>
      <c r="I912" s="13"/>
    </row>
    <row r="913">
      <c r="A913" s="16"/>
      <c r="B913" s="17"/>
      <c r="C913" s="18"/>
      <c r="D913" s="11"/>
      <c r="E913" s="11"/>
      <c r="F913" s="12"/>
      <c r="G913" s="13"/>
      <c r="H913" s="13"/>
      <c r="I913" s="13"/>
    </row>
    <row r="914">
      <c r="A914" s="16"/>
      <c r="B914" s="17"/>
      <c r="C914" s="18"/>
      <c r="D914" s="11"/>
      <c r="E914" s="11"/>
      <c r="F914" s="12"/>
      <c r="G914" s="13"/>
      <c r="H914" s="13"/>
      <c r="I914" s="13"/>
    </row>
    <row r="915">
      <c r="A915" s="16"/>
      <c r="B915" s="17"/>
      <c r="C915" s="18"/>
      <c r="D915" s="11"/>
      <c r="E915" s="11"/>
      <c r="F915" s="12"/>
      <c r="G915" s="13"/>
      <c r="H915" s="13"/>
      <c r="I915" s="13"/>
    </row>
    <row r="916">
      <c r="A916" s="16"/>
      <c r="B916" s="17"/>
      <c r="C916" s="18"/>
      <c r="D916" s="11"/>
      <c r="E916" s="11"/>
      <c r="F916" s="12"/>
      <c r="G916" s="13"/>
      <c r="H916" s="13"/>
      <c r="I916" s="13"/>
    </row>
    <row r="917">
      <c r="A917" s="16"/>
      <c r="B917" s="17"/>
      <c r="C917" s="18"/>
      <c r="D917" s="11"/>
      <c r="E917" s="11"/>
      <c r="F917" s="12"/>
      <c r="G917" s="13"/>
      <c r="H917" s="13"/>
      <c r="I917" s="13"/>
    </row>
    <row r="918">
      <c r="A918" s="16"/>
      <c r="B918" s="17"/>
      <c r="C918" s="18"/>
      <c r="D918" s="11"/>
      <c r="E918" s="11"/>
      <c r="F918" s="12"/>
      <c r="G918" s="13"/>
      <c r="H918" s="13"/>
      <c r="I918" s="13"/>
    </row>
    <row r="919">
      <c r="A919" s="16"/>
      <c r="B919" s="17"/>
      <c r="C919" s="18"/>
      <c r="D919" s="11"/>
      <c r="E919" s="11"/>
      <c r="F919" s="12"/>
      <c r="G919" s="13"/>
      <c r="H919" s="13"/>
      <c r="I919" s="13"/>
    </row>
    <row r="920">
      <c r="A920" s="16"/>
      <c r="B920" s="17"/>
      <c r="C920" s="18"/>
      <c r="D920" s="11"/>
      <c r="E920" s="11"/>
      <c r="F920" s="12"/>
      <c r="G920" s="13"/>
      <c r="H920" s="13"/>
      <c r="I920" s="13"/>
    </row>
    <row r="921">
      <c r="A921" s="16"/>
      <c r="B921" s="17"/>
      <c r="C921" s="18"/>
      <c r="D921" s="11"/>
      <c r="E921" s="11"/>
      <c r="F921" s="12"/>
      <c r="G921" s="13"/>
      <c r="H921" s="13"/>
      <c r="I921" s="13"/>
    </row>
    <row r="922">
      <c r="A922" s="16"/>
      <c r="B922" s="17"/>
      <c r="C922" s="18"/>
      <c r="D922" s="11"/>
      <c r="E922" s="11"/>
      <c r="F922" s="12"/>
      <c r="G922" s="13"/>
      <c r="H922" s="13"/>
      <c r="I922" s="13"/>
    </row>
    <row r="923">
      <c r="A923" s="16"/>
      <c r="B923" s="17"/>
      <c r="C923" s="18"/>
      <c r="D923" s="11"/>
      <c r="E923" s="11"/>
      <c r="F923" s="12"/>
      <c r="G923" s="13"/>
      <c r="H923" s="13"/>
      <c r="I923" s="13"/>
    </row>
    <row r="924">
      <c r="A924" s="16"/>
      <c r="B924" s="17"/>
      <c r="C924" s="18"/>
      <c r="D924" s="11"/>
      <c r="E924" s="11"/>
      <c r="F924" s="12"/>
      <c r="G924" s="13"/>
      <c r="H924" s="13"/>
      <c r="I924" s="13"/>
    </row>
    <row r="925">
      <c r="A925" s="16"/>
      <c r="B925" s="17"/>
      <c r="C925" s="18"/>
      <c r="D925" s="11"/>
      <c r="E925" s="11"/>
      <c r="F925" s="12"/>
      <c r="G925" s="13"/>
      <c r="H925" s="13"/>
      <c r="I925" s="13"/>
    </row>
    <row r="926">
      <c r="A926" s="16"/>
      <c r="B926" s="17"/>
      <c r="C926" s="18"/>
      <c r="D926" s="11"/>
      <c r="E926" s="11"/>
      <c r="F926" s="12"/>
      <c r="G926" s="13"/>
      <c r="H926" s="13"/>
      <c r="I926" s="13"/>
    </row>
    <row r="927">
      <c r="A927" s="16"/>
      <c r="B927" s="17"/>
      <c r="C927" s="18"/>
      <c r="D927" s="11"/>
      <c r="E927" s="11"/>
      <c r="F927" s="12"/>
      <c r="G927" s="13"/>
      <c r="H927" s="13"/>
      <c r="I927" s="13"/>
    </row>
    <row r="928">
      <c r="A928" s="16"/>
      <c r="B928" s="17"/>
      <c r="C928" s="18"/>
      <c r="D928" s="11"/>
      <c r="E928" s="11"/>
      <c r="F928" s="12"/>
      <c r="G928" s="13"/>
      <c r="H928" s="13"/>
      <c r="I928" s="13"/>
    </row>
    <row r="929">
      <c r="A929" s="16"/>
      <c r="B929" s="17"/>
      <c r="C929" s="18"/>
      <c r="D929" s="11"/>
      <c r="E929" s="11"/>
      <c r="F929" s="12"/>
      <c r="G929" s="13"/>
      <c r="H929" s="13"/>
      <c r="I929" s="13"/>
    </row>
    <row r="930">
      <c r="A930" s="16"/>
      <c r="B930" s="17"/>
      <c r="C930" s="18"/>
      <c r="D930" s="11"/>
      <c r="E930" s="11"/>
      <c r="F930" s="12"/>
      <c r="G930" s="13"/>
      <c r="H930" s="13"/>
      <c r="I930" s="13"/>
    </row>
    <row r="931">
      <c r="A931" s="16"/>
      <c r="B931" s="17"/>
      <c r="C931" s="18"/>
      <c r="D931" s="11"/>
      <c r="E931" s="11"/>
      <c r="F931" s="12"/>
      <c r="G931" s="13"/>
      <c r="H931" s="13"/>
      <c r="I931" s="13"/>
    </row>
    <row r="932">
      <c r="A932" s="16"/>
      <c r="B932" s="17"/>
      <c r="C932" s="18"/>
      <c r="D932" s="11"/>
      <c r="E932" s="11"/>
      <c r="F932" s="12"/>
      <c r="G932" s="13"/>
      <c r="H932" s="13"/>
      <c r="I932" s="13"/>
    </row>
    <row r="933">
      <c r="A933" s="16"/>
      <c r="B933" s="17"/>
      <c r="C933" s="18"/>
      <c r="D933" s="11"/>
      <c r="E933" s="11"/>
      <c r="F933" s="12"/>
      <c r="G933" s="13"/>
      <c r="H933" s="13"/>
      <c r="I933" s="13"/>
    </row>
    <row r="934">
      <c r="A934" s="16"/>
      <c r="B934" s="17"/>
      <c r="C934" s="18"/>
      <c r="D934" s="11"/>
      <c r="E934" s="11"/>
      <c r="F934" s="12"/>
      <c r="G934" s="13"/>
      <c r="H934" s="13"/>
      <c r="I934" s="13"/>
    </row>
    <row r="935">
      <c r="A935" s="16"/>
      <c r="B935" s="17"/>
      <c r="C935" s="18"/>
      <c r="D935" s="11"/>
      <c r="E935" s="11"/>
      <c r="F935" s="12"/>
      <c r="G935" s="13"/>
      <c r="H935" s="13"/>
      <c r="I935" s="13"/>
    </row>
    <row r="936">
      <c r="A936" s="16"/>
      <c r="B936" s="17"/>
      <c r="C936" s="18"/>
      <c r="D936" s="11"/>
      <c r="E936" s="11"/>
      <c r="F936" s="12"/>
      <c r="G936" s="13"/>
      <c r="H936" s="13"/>
      <c r="I936" s="13"/>
    </row>
    <row r="937">
      <c r="A937" s="16"/>
      <c r="B937" s="17"/>
      <c r="C937" s="18"/>
      <c r="D937" s="11"/>
      <c r="E937" s="11"/>
      <c r="F937" s="12"/>
      <c r="G937" s="13"/>
      <c r="H937" s="13"/>
      <c r="I937" s="13"/>
    </row>
    <row r="938">
      <c r="A938" s="16"/>
      <c r="B938" s="17"/>
      <c r="C938" s="18"/>
      <c r="D938" s="11"/>
      <c r="E938" s="11"/>
      <c r="F938" s="12"/>
      <c r="G938" s="13"/>
      <c r="H938" s="13"/>
      <c r="I938" s="13"/>
    </row>
    <row r="939">
      <c r="A939" s="16"/>
      <c r="B939" s="17"/>
      <c r="C939" s="18"/>
      <c r="D939" s="11"/>
      <c r="E939" s="11"/>
      <c r="F939" s="12"/>
      <c r="G939" s="13"/>
      <c r="H939" s="13"/>
      <c r="I939" s="13"/>
    </row>
    <row r="940">
      <c r="A940" s="16"/>
      <c r="B940" s="17"/>
      <c r="C940" s="18"/>
      <c r="D940" s="11"/>
      <c r="E940" s="11"/>
      <c r="F940" s="12"/>
      <c r="G940" s="13"/>
      <c r="H940" s="13"/>
      <c r="I940" s="13"/>
    </row>
    <row r="941">
      <c r="A941" s="16"/>
      <c r="B941" s="17"/>
      <c r="C941" s="18"/>
      <c r="D941" s="11"/>
      <c r="E941" s="11"/>
      <c r="F941" s="12"/>
      <c r="G941" s="13"/>
      <c r="H941" s="13"/>
      <c r="I941" s="13"/>
    </row>
    <row r="942">
      <c r="A942" s="16"/>
      <c r="B942" s="17"/>
      <c r="C942" s="18"/>
      <c r="D942" s="11"/>
      <c r="E942" s="11"/>
      <c r="F942" s="12"/>
      <c r="G942" s="13"/>
      <c r="H942" s="13"/>
      <c r="I942" s="13"/>
    </row>
    <row r="943">
      <c r="A943" s="16"/>
      <c r="B943" s="17"/>
      <c r="C943" s="18"/>
      <c r="D943" s="11"/>
      <c r="E943" s="11"/>
      <c r="F943" s="12"/>
      <c r="G943" s="13"/>
      <c r="H943" s="13"/>
      <c r="I943" s="13"/>
    </row>
    <row r="944">
      <c r="A944" s="16"/>
      <c r="B944" s="17"/>
      <c r="C944" s="18"/>
      <c r="D944" s="11"/>
      <c r="E944" s="11"/>
      <c r="F944" s="12"/>
      <c r="G944" s="13"/>
      <c r="H944" s="13"/>
      <c r="I944" s="13"/>
    </row>
    <row r="945">
      <c r="A945" s="16"/>
      <c r="B945" s="17"/>
      <c r="C945" s="18"/>
      <c r="D945" s="11"/>
      <c r="E945" s="11"/>
      <c r="F945" s="12"/>
      <c r="G945" s="13"/>
      <c r="H945" s="13"/>
      <c r="I945" s="13"/>
    </row>
    <row r="946">
      <c r="A946" s="16"/>
      <c r="B946" s="17"/>
      <c r="C946" s="18"/>
      <c r="D946" s="11"/>
      <c r="E946" s="11"/>
      <c r="F946" s="12"/>
      <c r="G946" s="13"/>
      <c r="H946" s="13"/>
      <c r="I946" s="13"/>
    </row>
    <row r="947">
      <c r="A947" s="16"/>
      <c r="B947" s="17"/>
      <c r="C947" s="18"/>
      <c r="D947" s="11"/>
      <c r="E947" s="11"/>
      <c r="F947" s="12"/>
      <c r="G947" s="13"/>
      <c r="H947" s="13"/>
      <c r="I947" s="13"/>
    </row>
    <row r="948">
      <c r="A948" s="16"/>
      <c r="B948" s="17"/>
      <c r="C948" s="18"/>
      <c r="D948" s="11"/>
      <c r="E948" s="11"/>
      <c r="F948" s="12"/>
      <c r="G948" s="13"/>
      <c r="H948" s="13"/>
      <c r="I948" s="13"/>
    </row>
    <row r="949">
      <c r="A949" s="16"/>
      <c r="B949" s="17"/>
      <c r="C949" s="18"/>
      <c r="D949" s="11"/>
      <c r="E949" s="11"/>
      <c r="F949" s="12"/>
      <c r="G949" s="13"/>
      <c r="H949" s="13"/>
      <c r="I949" s="13"/>
    </row>
    <row r="950">
      <c r="A950" s="16"/>
      <c r="B950" s="17"/>
      <c r="C950" s="18"/>
      <c r="D950" s="11"/>
      <c r="E950" s="11"/>
      <c r="F950" s="12"/>
      <c r="G950" s="13"/>
      <c r="H950" s="13"/>
      <c r="I950" s="13"/>
    </row>
    <row r="951">
      <c r="A951" s="16"/>
      <c r="B951" s="17"/>
      <c r="C951" s="18"/>
      <c r="D951" s="11"/>
      <c r="E951" s="11"/>
      <c r="F951" s="12"/>
      <c r="G951" s="13"/>
      <c r="H951" s="13"/>
      <c r="I951" s="13"/>
    </row>
    <row r="952">
      <c r="A952" s="16"/>
      <c r="B952" s="17"/>
      <c r="C952" s="18"/>
      <c r="D952" s="11"/>
      <c r="E952" s="11"/>
      <c r="F952" s="12"/>
      <c r="G952" s="13"/>
      <c r="H952" s="13"/>
      <c r="I952" s="13"/>
    </row>
    <row r="953">
      <c r="A953" s="16"/>
      <c r="B953" s="17"/>
      <c r="C953" s="18"/>
      <c r="D953" s="11"/>
      <c r="E953" s="11"/>
      <c r="F953" s="12"/>
      <c r="G953" s="13"/>
      <c r="H953" s="13"/>
      <c r="I953" s="13"/>
    </row>
    <row r="954">
      <c r="A954" s="16"/>
      <c r="B954" s="17"/>
      <c r="C954" s="18"/>
      <c r="D954" s="11"/>
      <c r="E954" s="11"/>
      <c r="F954" s="12"/>
      <c r="G954" s="13"/>
      <c r="H954" s="13"/>
      <c r="I954" s="13"/>
    </row>
    <row r="955">
      <c r="A955" s="16"/>
      <c r="B955" s="17"/>
      <c r="C955" s="18"/>
      <c r="D955" s="11"/>
      <c r="E955" s="11"/>
      <c r="F955" s="12"/>
      <c r="G955" s="13"/>
      <c r="H955" s="13"/>
      <c r="I955" s="13"/>
    </row>
    <row r="956">
      <c r="A956" s="16"/>
      <c r="B956" s="17"/>
      <c r="C956" s="18"/>
      <c r="D956" s="11"/>
      <c r="E956" s="11"/>
      <c r="F956" s="12"/>
      <c r="G956" s="13"/>
      <c r="H956" s="13"/>
      <c r="I956" s="13"/>
    </row>
    <row r="957">
      <c r="A957" s="16"/>
      <c r="B957" s="17"/>
      <c r="C957" s="18"/>
      <c r="D957" s="11"/>
      <c r="E957" s="11"/>
      <c r="F957" s="12"/>
      <c r="G957" s="13"/>
      <c r="H957" s="13"/>
      <c r="I957" s="13"/>
    </row>
    <row r="958">
      <c r="A958" s="16"/>
      <c r="B958" s="17"/>
      <c r="C958" s="18"/>
      <c r="D958" s="11"/>
      <c r="E958" s="11"/>
      <c r="F958" s="12"/>
      <c r="G958" s="13"/>
      <c r="H958" s="13"/>
      <c r="I958" s="13"/>
    </row>
    <row r="959">
      <c r="A959" s="16"/>
      <c r="B959" s="17"/>
      <c r="C959" s="18"/>
      <c r="D959" s="11"/>
      <c r="E959" s="11"/>
      <c r="F959" s="12"/>
      <c r="G959" s="13"/>
      <c r="H959" s="13"/>
      <c r="I959" s="13"/>
    </row>
    <row r="960">
      <c r="A960" s="16"/>
      <c r="B960" s="17"/>
      <c r="C960" s="18"/>
      <c r="D960" s="11"/>
      <c r="E960" s="11"/>
      <c r="F960" s="12"/>
      <c r="G960" s="13"/>
      <c r="H960" s="13"/>
      <c r="I960" s="13"/>
    </row>
    <row r="961">
      <c r="A961" s="16"/>
      <c r="B961" s="17"/>
      <c r="C961" s="18"/>
      <c r="D961" s="11"/>
      <c r="E961" s="11"/>
      <c r="F961" s="12"/>
      <c r="G961" s="13"/>
      <c r="H961" s="13"/>
      <c r="I961" s="13"/>
    </row>
    <row r="962">
      <c r="A962" s="16"/>
      <c r="B962" s="17"/>
      <c r="C962" s="18"/>
      <c r="D962" s="11"/>
      <c r="E962" s="11"/>
      <c r="F962" s="12"/>
      <c r="G962" s="13"/>
      <c r="H962" s="13"/>
      <c r="I962" s="13"/>
    </row>
    <row r="963">
      <c r="A963" s="16"/>
      <c r="B963" s="17"/>
      <c r="C963" s="18"/>
      <c r="D963" s="11"/>
      <c r="E963" s="11"/>
      <c r="F963" s="12"/>
      <c r="G963" s="13"/>
      <c r="H963" s="13"/>
      <c r="I963" s="13"/>
    </row>
    <row r="964">
      <c r="A964" s="16"/>
      <c r="B964" s="17"/>
      <c r="C964" s="18"/>
      <c r="D964" s="11"/>
      <c r="E964" s="11"/>
      <c r="F964" s="12"/>
      <c r="G964" s="13"/>
      <c r="H964" s="13"/>
      <c r="I964" s="13"/>
    </row>
    <row r="965">
      <c r="A965" s="16"/>
      <c r="B965" s="17"/>
      <c r="C965" s="18"/>
      <c r="D965" s="11"/>
      <c r="E965" s="11"/>
      <c r="F965" s="12"/>
      <c r="G965" s="13"/>
      <c r="H965" s="13"/>
      <c r="I965" s="13"/>
    </row>
    <row r="966">
      <c r="A966" s="16"/>
      <c r="B966" s="17"/>
      <c r="C966" s="18"/>
      <c r="D966" s="11"/>
      <c r="E966" s="11"/>
      <c r="F966" s="12"/>
      <c r="G966" s="13"/>
      <c r="H966" s="13"/>
      <c r="I966" s="13"/>
    </row>
    <row r="967">
      <c r="A967" s="16"/>
      <c r="B967" s="17"/>
      <c r="C967" s="18"/>
      <c r="D967" s="11"/>
      <c r="E967" s="11"/>
      <c r="F967" s="12"/>
      <c r="G967" s="13"/>
      <c r="H967" s="13"/>
      <c r="I967" s="13"/>
    </row>
    <row r="968">
      <c r="A968" s="16"/>
      <c r="B968" s="17"/>
      <c r="C968" s="18"/>
      <c r="D968" s="11"/>
      <c r="E968" s="11"/>
      <c r="F968" s="12"/>
      <c r="G968" s="13"/>
      <c r="H968" s="13"/>
      <c r="I968" s="13"/>
    </row>
    <row r="969">
      <c r="A969" s="16"/>
      <c r="B969" s="17"/>
      <c r="C969" s="18"/>
      <c r="D969" s="11"/>
      <c r="E969" s="11"/>
      <c r="F969" s="12"/>
      <c r="G969" s="13"/>
      <c r="H969" s="13"/>
      <c r="I969" s="13"/>
    </row>
    <row r="970">
      <c r="A970" s="16"/>
      <c r="B970" s="17"/>
      <c r="C970" s="18"/>
      <c r="D970" s="11"/>
      <c r="E970" s="11"/>
      <c r="F970" s="12"/>
      <c r="G970" s="13"/>
      <c r="H970" s="13"/>
      <c r="I970" s="13"/>
    </row>
    <row r="971">
      <c r="A971" s="16"/>
      <c r="B971" s="17"/>
      <c r="C971" s="18"/>
      <c r="D971" s="11"/>
      <c r="E971" s="11"/>
      <c r="F971" s="12"/>
      <c r="G971" s="13"/>
      <c r="H971" s="13"/>
      <c r="I971" s="13"/>
    </row>
    <row r="972">
      <c r="A972" s="16"/>
      <c r="B972" s="17"/>
      <c r="C972" s="18"/>
      <c r="D972" s="11"/>
      <c r="E972" s="11"/>
      <c r="F972" s="12"/>
      <c r="G972" s="13"/>
      <c r="H972" s="13"/>
      <c r="I972" s="13"/>
    </row>
    <row r="973">
      <c r="A973" s="16"/>
      <c r="B973" s="17"/>
      <c r="C973" s="18"/>
      <c r="D973" s="11"/>
      <c r="E973" s="11"/>
      <c r="F973" s="12"/>
      <c r="G973" s="13"/>
      <c r="H973" s="13"/>
      <c r="I973" s="13"/>
    </row>
    <row r="974">
      <c r="A974" s="16"/>
      <c r="B974" s="17"/>
      <c r="C974" s="18"/>
      <c r="D974" s="11"/>
      <c r="E974" s="11"/>
      <c r="F974" s="12"/>
      <c r="G974" s="13"/>
      <c r="H974" s="13"/>
      <c r="I974" s="13"/>
    </row>
    <row r="975">
      <c r="A975" s="16"/>
      <c r="B975" s="17"/>
      <c r="C975" s="18"/>
      <c r="D975" s="11"/>
      <c r="E975" s="11"/>
      <c r="F975" s="12"/>
      <c r="G975" s="13"/>
      <c r="H975" s="13"/>
      <c r="I975" s="13"/>
    </row>
    <row r="976">
      <c r="A976" s="16"/>
      <c r="B976" s="17"/>
      <c r="C976" s="18"/>
      <c r="D976" s="11"/>
      <c r="E976" s="11"/>
      <c r="F976" s="12"/>
      <c r="G976" s="13"/>
      <c r="H976" s="13"/>
      <c r="I976" s="13"/>
    </row>
    <row r="977">
      <c r="A977" s="16"/>
      <c r="B977" s="17"/>
      <c r="C977" s="18"/>
      <c r="D977" s="11"/>
      <c r="E977" s="11"/>
      <c r="F977" s="12"/>
      <c r="G977" s="13"/>
      <c r="H977" s="13"/>
      <c r="I977" s="13"/>
    </row>
    <row r="978">
      <c r="A978" s="16"/>
      <c r="B978" s="17"/>
      <c r="C978" s="18"/>
      <c r="D978" s="11"/>
      <c r="E978" s="11"/>
      <c r="F978" s="12"/>
      <c r="G978" s="13"/>
      <c r="H978" s="13"/>
      <c r="I978" s="13"/>
    </row>
    <row r="979">
      <c r="A979" s="16"/>
      <c r="B979" s="17"/>
      <c r="C979" s="18"/>
      <c r="D979" s="11"/>
      <c r="E979" s="11"/>
      <c r="F979" s="12"/>
      <c r="G979" s="13"/>
      <c r="H979" s="13"/>
      <c r="I979" s="13"/>
    </row>
    <row r="980">
      <c r="A980" s="16"/>
      <c r="B980" s="17"/>
      <c r="C980" s="18"/>
      <c r="D980" s="11"/>
      <c r="E980" s="11"/>
      <c r="F980" s="12"/>
      <c r="G980" s="13"/>
      <c r="H980" s="13"/>
      <c r="I980" s="13"/>
    </row>
    <row r="981">
      <c r="A981" s="16"/>
      <c r="B981" s="17"/>
      <c r="C981" s="18"/>
      <c r="D981" s="11"/>
      <c r="E981" s="11"/>
      <c r="F981" s="12"/>
      <c r="G981" s="13"/>
      <c r="H981" s="13"/>
      <c r="I981" s="13"/>
    </row>
    <row r="982">
      <c r="A982" s="16"/>
      <c r="B982" s="17"/>
      <c r="C982" s="18"/>
      <c r="D982" s="11"/>
      <c r="E982" s="11"/>
      <c r="F982" s="12"/>
      <c r="G982" s="13"/>
      <c r="H982" s="13"/>
      <c r="I982" s="13"/>
    </row>
    <row r="983">
      <c r="A983" s="16"/>
      <c r="B983" s="17"/>
      <c r="C983" s="18"/>
      <c r="D983" s="11"/>
      <c r="E983" s="11"/>
      <c r="F983" s="12"/>
      <c r="G983" s="13"/>
      <c r="H983" s="13"/>
      <c r="I983" s="13"/>
    </row>
    <row r="984">
      <c r="A984" s="16"/>
      <c r="B984" s="17"/>
      <c r="C984" s="18"/>
      <c r="D984" s="11"/>
      <c r="E984" s="11"/>
      <c r="F984" s="12"/>
      <c r="G984" s="13"/>
      <c r="H984" s="13"/>
      <c r="I984" s="13"/>
    </row>
    <row r="985">
      <c r="A985" s="16"/>
      <c r="B985" s="17"/>
      <c r="C985" s="18"/>
      <c r="D985" s="11"/>
      <c r="E985" s="11"/>
      <c r="F985" s="12"/>
      <c r="G985" s="13"/>
      <c r="H985" s="13"/>
      <c r="I985" s="13"/>
    </row>
    <row r="986">
      <c r="A986" s="16"/>
      <c r="B986" s="17"/>
      <c r="C986" s="18"/>
      <c r="D986" s="11"/>
      <c r="E986" s="11"/>
      <c r="F986" s="12"/>
      <c r="G986" s="13"/>
      <c r="H986" s="13"/>
      <c r="I986" s="13"/>
    </row>
    <row r="987">
      <c r="A987" s="16"/>
      <c r="B987" s="17"/>
      <c r="C987" s="18"/>
      <c r="D987" s="11"/>
      <c r="E987" s="11"/>
      <c r="F987" s="12"/>
      <c r="G987" s="13"/>
      <c r="H987" s="13"/>
      <c r="I987" s="13"/>
    </row>
    <row r="988">
      <c r="A988" s="16"/>
      <c r="B988" s="17"/>
      <c r="C988" s="18"/>
      <c r="D988" s="11"/>
      <c r="E988" s="11"/>
      <c r="F988" s="12"/>
      <c r="G988" s="13"/>
      <c r="H988" s="13"/>
      <c r="I988" s="13"/>
    </row>
    <row r="989">
      <c r="A989" s="16"/>
      <c r="B989" s="17"/>
      <c r="C989" s="18"/>
      <c r="D989" s="11"/>
      <c r="E989" s="11"/>
      <c r="F989" s="12"/>
      <c r="G989" s="13"/>
      <c r="H989" s="13"/>
      <c r="I989" s="13"/>
    </row>
    <row r="990">
      <c r="A990" s="16"/>
      <c r="B990" s="17"/>
      <c r="C990" s="18"/>
      <c r="D990" s="11"/>
      <c r="E990" s="11"/>
      <c r="F990" s="12"/>
      <c r="G990" s="13"/>
      <c r="H990" s="13"/>
      <c r="I990" s="13"/>
    </row>
    <row r="991">
      <c r="A991" s="16"/>
      <c r="B991" s="17"/>
      <c r="C991" s="18"/>
      <c r="D991" s="11"/>
      <c r="E991" s="11"/>
      <c r="F991" s="12"/>
      <c r="G991" s="13"/>
      <c r="H991" s="13"/>
      <c r="I991" s="13"/>
    </row>
    <row r="992">
      <c r="A992" s="16"/>
      <c r="B992" s="17"/>
      <c r="C992" s="18"/>
      <c r="D992" s="11"/>
      <c r="E992" s="11"/>
      <c r="F992" s="12"/>
      <c r="G992" s="13"/>
      <c r="H992" s="13"/>
      <c r="I992" s="13"/>
    </row>
    <row r="993">
      <c r="A993" s="16"/>
      <c r="B993" s="17"/>
      <c r="C993" s="18"/>
      <c r="D993" s="11"/>
      <c r="E993" s="11"/>
      <c r="F993" s="12"/>
      <c r="G993" s="13"/>
      <c r="H993" s="13"/>
      <c r="I993" s="13"/>
    </row>
    <row r="994">
      <c r="A994" s="16"/>
      <c r="B994" s="17"/>
      <c r="C994" s="18"/>
      <c r="D994" s="11"/>
      <c r="E994" s="11"/>
      <c r="F994" s="12"/>
      <c r="G994" s="13"/>
      <c r="H994" s="13"/>
      <c r="I994" s="13"/>
    </row>
    <row r="995">
      <c r="A995" s="16"/>
      <c r="B995" s="17"/>
      <c r="C995" s="18"/>
      <c r="D995" s="11"/>
      <c r="E995" s="11"/>
      <c r="F995" s="12"/>
      <c r="G995" s="13"/>
      <c r="H995" s="13"/>
      <c r="I995" s="13"/>
    </row>
    <row r="996">
      <c r="A996" s="16"/>
      <c r="B996" s="17"/>
      <c r="C996" s="18"/>
      <c r="D996" s="11"/>
      <c r="E996" s="11"/>
      <c r="F996" s="12"/>
      <c r="G996" s="13"/>
      <c r="H996" s="13"/>
      <c r="I996" s="13"/>
    </row>
    <row r="997">
      <c r="A997" s="16"/>
      <c r="B997" s="17"/>
      <c r="C997" s="18"/>
      <c r="D997" s="11"/>
      <c r="E997" s="11"/>
      <c r="F997" s="12"/>
      <c r="G997" s="13"/>
      <c r="H997" s="13"/>
      <c r="I997" s="13"/>
    </row>
  </sheetData>
  <autoFilter ref="$A$1:$Y$517"/>
  <printOptions gridLines="1" horizontalCentered="1"/>
  <pageMargins bottom="0.75" footer="0.0" header="0.0" left="0.25" right="0.25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6.13"/>
    <col customWidth="1" min="3" max="3" width="18.38"/>
    <col customWidth="1" min="4" max="4" width="17.13"/>
    <col customWidth="1" min="5" max="5" width="10.88"/>
  </cols>
  <sheetData>
    <row r="1">
      <c r="A1" s="20" t="s">
        <v>825</v>
      </c>
      <c r="B1" s="21">
        <v>577.5461</v>
      </c>
      <c r="C1" s="22">
        <v>46184.48059559028</v>
      </c>
      <c r="D1" s="23" t="s">
        <v>826</v>
      </c>
      <c r="E1" s="24">
        <v>0.3</v>
      </c>
    </row>
    <row r="2">
      <c r="A2" s="25" t="s">
        <v>827</v>
      </c>
      <c r="B2" s="26">
        <v>866.31</v>
      </c>
      <c r="D2" s="23" t="s">
        <v>828</v>
      </c>
      <c r="E2" s="24">
        <v>0.2</v>
      </c>
    </row>
    <row r="3">
      <c r="A3" s="27" t="s">
        <v>829</v>
      </c>
      <c r="B3" s="28">
        <f>ROUNDUP(((B2-B1)/B1)+1,2)</f>
        <v>1.5</v>
      </c>
      <c r="H3" s="29"/>
    </row>
    <row r="4">
      <c r="B4" s="30"/>
    </row>
    <row r="5">
      <c r="B5" s="30"/>
    </row>
    <row r="6">
      <c r="B6" s="30"/>
    </row>
    <row r="7">
      <c r="B7" s="30"/>
    </row>
    <row r="8">
      <c r="B8" s="30"/>
    </row>
    <row r="9">
      <c r="B9" s="30"/>
    </row>
    <row r="10">
      <c r="B10" s="30"/>
    </row>
    <row r="11">
      <c r="B11" s="30"/>
    </row>
    <row r="12">
      <c r="B12" s="30"/>
    </row>
    <row r="13">
      <c r="B13" s="30"/>
    </row>
    <row r="14">
      <c r="B14" s="30"/>
    </row>
    <row r="15">
      <c r="B15" s="30"/>
    </row>
    <row r="16">
      <c r="B16" s="30"/>
    </row>
    <row r="17">
      <c r="B17" s="30"/>
    </row>
    <row r="18">
      <c r="B18" s="30"/>
    </row>
    <row r="19">
      <c r="B19" s="30"/>
    </row>
    <row r="20">
      <c r="B20" s="30"/>
    </row>
    <row r="21">
      <c r="B21" s="30"/>
    </row>
    <row r="22">
      <c r="B22" s="30"/>
    </row>
    <row r="23">
      <c r="B23" s="30"/>
    </row>
    <row r="24">
      <c r="B24" s="30"/>
    </row>
    <row r="25">
      <c r="B25" s="30"/>
    </row>
    <row r="26">
      <c r="B26" s="30"/>
    </row>
    <row r="27">
      <c r="B27" s="30"/>
    </row>
    <row r="28">
      <c r="B28" s="30"/>
    </row>
    <row r="29">
      <c r="B29" s="30"/>
    </row>
    <row r="30">
      <c r="B30" s="30"/>
    </row>
    <row r="31">
      <c r="B31" s="30"/>
    </row>
    <row r="32">
      <c r="B32" s="30"/>
    </row>
    <row r="33">
      <c r="B33" s="30"/>
    </row>
    <row r="34">
      <c r="B34" s="30"/>
    </row>
    <row r="35">
      <c r="B35" s="30"/>
    </row>
    <row r="36">
      <c r="B36" s="30"/>
    </row>
    <row r="37">
      <c r="B37" s="30"/>
    </row>
    <row r="38">
      <c r="B38" s="30"/>
    </row>
    <row r="39">
      <c r="B39" s="30"/>
    </row>
    <row r="40">
      <c r="B40" s="30"/>
    </row>
    <row r="41">
      <c r="B41" s="30"/>
    </row>
    <row r="42">
      <c r="B42" s="30"/>
    </row>
    <row r="43">
      <c r="B43" s="30"/>
    </row>
    <row r="44">
      <c r="B44" s="30"/>
    </row>
    <row r="45">
      <c r="B45" s="30"/>
    </row>
    <row r="46">
      <c r="B46" s="30"/>
    </row>
    <row r="47">
      <c r="B47" s="30"/>
    </row>
    <row r="48">
      <c r="B48" s="30"/>
    </row>
    <row r="49">
      <c r="B49" s="30"/>
    </row>
    <row r="50">
      <c r="B50" s="30"/>
    </row>
    <row r="51">
      <c r="B51" s="30"/>
    </row>
    <row r="52">
      <c r="B52" s="30"/>
    </row>
    <row r="53">
      <c r="B53" s="30"/>
    </row>
    <row r="54">
      <c r="B54" s="30"/>
    </row>
    <row r="55">
      <c r="B55" s="30"/>
    </row>
    <row r="56">
      <c r="B56" s="30"/>
    </row>
    <row r="57">
      <c r="B57" s="30"/>
    </row>
    <row r="58">
      <c r="B58" s="30"/>
    </row>
    <row r="59">
      <c r="B59" s="30"/>
    </row>
    <row r="60">
      <c r="B60" s="30"/>
    </row>
    <row r="61">
      <c r="B61" s="30"/>
    </row>
    <row r="62">
      <c r="B62" s="30"/>
    </row>
    <row r="63">
      <c r="B63" s="30"/>
    </row>
    <row r="64">
      <c r="B64" s="30"/>
    </row>
    <row r="65">
      <c r="B65" s="30"/>
    </row>
    <row r="66">
      <c r="B66" s="30"/>
    </row>
    <row r="67">
      <c r="B67" s="30"/>
    </row>
    <row r="68">
      <c r="B68" s="30"/>
    </row>
    <row r="69">
      <c r="B69" s="30"/>
    </row>
    <row r="70">
      <c r="B70" s="30"/>
    </row>
    <row r="71">
      <c r="B71" s="30"/>
    </row>
    <row r="72">
      <c r="B72" s="30"/>
    </row>
    <row r="73">
      <c r="B73" s="30"/>
    </row>
    <row r="74">
      <c r="B74" s="30"/>
    </row>
    <row r="75">
      <c r="B75" s="30"/>
    </row>
    <row r="76">
      <c r="B76" s="30"/>
    </row>
    <row r="77">
      <c r="B77" s="30"/>
    </row>
    <row r="78">
      <c r="B78" s="30"/>
    </row>
    <row r="79">
      <c r="B79" s="30"/>
    </row>
    <row r="80">
      <c r="B80" s="30"/>
    </row>
    <row r="81">
      <c r="B81" s="30"/>
    </row>
    <row r="82">
      <c r="B82" s="30"/>
    </row>
    <row r="83">
      <c r="B83" s="30"/>
    </row>
    <row r="84">
      <c r="B84" s="30"/>
    </row>
    <row r="85">
      <c r="B85" s="30"/>
    </row>
    <row r="86">
      <c r="B86" s="30"/>
    </row>
    <row r="87">
      <c r="B87" s="30"/>
    </row>
    <row r="88">
      <c r="B88" s="30"/>
    </row>
    <row r="89">
      <c r="B89" s="30"/>
    </row>
    <row r="90">
      <c r="B90" s="30"/>
    </row>
    <row r="91">
      <c r="B91" s="30"/>
    </row>
    <row r="92">
      <c r="B92" s="30"/>
    </row>
    <row r="93">
      <c r="B93" s="30"/>
    </row>
    <row r="94">
      <c r="B94" s="30"/>
    </row>
    <row r="95">
      <c r="B95" s="30"/>
    </row>
    <row r="96">
      <c r="B96" s="30"/>
    </row>
    <row r="97">
      <c r="B97" s="30"/>
    </row>
    <row r="98">
      <c r="B98" s="30"/>
    </row>
    <row r="99">
      <c r="B99" s="30"/>
    </row>
    <row r="100">
      <c r="B100" s="30"/>
    </row>
    <row r="101">
      <c r="B101" s="30"/>
    </row>
    <row r="102">
      <c r="B102" s="30"/>
    </row>
    <row r="103">
      <c r="B103" s="30"/>
    </row>
    <row r="104">
      <c r="B104" s="30"/>
    </row>
    <row r="105">
      <c r="B105" s="30"/>
    </row>
    <row r="106">
      <c r="B106" s="30"/>
    </row>
    <row r="107">
      <c r="B107" s="30"/>
    </row>
    <row r="108">
      <c r="B108" s="30"/>
    </row>
    <row r="109">
      <c r="B109" s="30"/>
    </row>
    <row r="110">
      <c r="B110" s="30"/>
    </row>
    <row r="111">
      <c r="B111" s="30"/>
    </row>
    <row r="112">
      <c r="B112" s="30"/>
    </row>
    <row r="113">
      <c r="B113" s="30"/>
    </row>
    <row r="114">
      <c r="B114" s="30"/>
    </row>
    <row r="115">
      <c r="B115" s="30"/>
    </row>
    <row r="116">
      <c r="B116" s="30"/>
    </row>
    <row r="117">
      <c r="B117" s="30"/>
    </row>
    <row r="118">
      <c r="B118" s="30"/>
    </row>
    <row r="119">
      <c r="B119" s="30"/>
    </row>
    <row r="120">
      <c r="B120" s="30"/>
    </row>
    <row r="121">
      <c r="B121" s="30"/>
    </row>
    <row r="122">
      <c r="B122" s="30"/>
    </row>
    <row r="123">
      <c r="B123" s="30"/>
    </row>
    <row r="124">
      <c r="B124" s="30"/>
    </row>
    <row r="125">
      <c r="B125" s="30"/>
    </row>
    <row r="126">
      <c r="B126" s="30"/>
    </row>
    <row r="127">
      <c r="B127" s="30"/>
    </row>
    <row r="128">
      <c r="B128" s="30"/>
    </row>
    <row r="129">
      <c r="B129" s="30"/>
    </row>
    <row r="130">
      <c r="B130" s="30"/>
    </row>
    <row r="131">
      <c r="B131" s="30"/>
    </row>
    <row r="132">
      <c r="B132" s="30"/>
    </row>
    <row r="133">
      <c r="B133" s="30"/>
    </row>
    <row r="134">
      <c r="B134" s="30"/>
    </row>
    <row r="135">
      <c r="B135" s="30"/>
    </row>
    <row r="136">
      <c r="B136" s="30"/>
    </row>
    <row r="137">
      <c r="B137" s="30"/>
    </row>
    <row r="138">
      <c r="B138" s="30"/>
    </row>
    <row r="139">
      <c r="B139" s="30"/>
    </row>
    <row r="140">
      <c r="B140" s="30"/>
    </row>
    <row r="141">
      <c r="B141" s="30"/>
    </row>
    <row r="142">
      <c r="B142" s="30"/>
    </row>
    <row r="143">
      <c r="B143" s="30"/>
    </row>
    <row r="144">
      <c r="B144" s="30"/>
    </row>
    <row r="145">
      <c r="B145" s="30"/>
    </row>
    <row r="146">
      <c r="B146" s="30"/>
    </row>
    <row r="147">
      <c r="B147" s="30"/>
    </row>
    <row r="148">
      <c r="B148" s="30"/>
    </row>
    <row r="149">
      <c r="B149" s="30"/>
    </row>
    <row r="150">
      <c r="B150" s="30"/>
    </row>
    <row r="151">
      <c r="B151" s="30"/>
    </row>
    <row r="152">
      <c r="B152" s="30"/>
    </row>
    <row r="153">
      <c r="B153" s="30"/>
    </row>
    <row r="154">
      <c r="B154" s="30"/>
    </row>
    <row r="155">
      <c r="B155" s="30"/>
    </row>
    <row r="156">
      <c r="B156" s="30"/>
    </row>
    <row r="157">
      <c r="B157" s="30"/>
    </row>
    <row r="158">
      <c r="B158" s="30"/>
    </row>
    <row r="159">
      <c r="B159" s="30"/>
    </row>
    <row r="160">
      <c r="B160" s="30"/>
    </row>
    <row r="161">
      <c r="B161" s="30"/>
    </row>
    <row r="162">
      <c r="B162" s="30"/>
    </row>
    <row r="163">
      <c r="B163" s="30"/>
    </row>
    <row r="164">
      <c r="B164" s="30"/>
    </row>
    <row r="165">
      <c r="B165" s="30"/>
    </row>
    <row r="166">
      <c r="B166" s="30"/>
    </row>
    <row r="167">
      <c r="B167" s="30"/>
    </row>
    <row r="168">
      <c r="B168" s="30"/>
    </row>
    <row r="169">
      <c r="B169" s="30"/>
    </row>
    <row r="170">
      <c r="B170" s="30"/>
    </row>
    <row r="171">
      <c r="B171" s="30"/>
    </row>
    <row r="172">
      <c r="B172" s="30"/>
    </row>
    <row r="173">
      <c r="B173" s="30"/>
    </row>
    <row r="174">
      <c r="B174" s="30"/>
    </row>
    <row r="175">
      <c r="B175" s="30"/>
    </row>
    <row r="176">
      <c r="B176" s="30"/>
    </row>
    <row r="177">
      <c r="B177" s="30"/>
    </row>
    <row r="178">
      <c r="B178" s="30"/>
    </row>
    <row r="179">
      <c r="B179" s="30"/>
    </row>
    <row r="180">
      <c r="B180" s="30"/>
    </row>
    <row r="181">
      <c r="B181" s="30"/>
    </row>
    <row r="182">
      <c r="B182" s="30"/>
    </row>
    <row r="183">
      <c r="B183" s="30"/>
    </row>
    <row r="184">
      <c r="B184" s="30"/>
    </row>
    <row r="185">
      <c r="B185" s="30"/>
    </row>
    <row r="186">
      <c r="B186" s="30"/>
    </row>
    <row r="187">
      <c r="B187" s="30"/>
    </row>
    <row r="188">
      <c r="B188" s="30"/>
    </row>
    <row r="189">
      <c r="B189" s="30"/>
    </row>
    <row r="190">
      <c r="B190" s="30"/>
    </row>
    <row r="191">
      <c r="B191" s="30"/>
    </row>
    <row r="192">
      <c r="B192" s="30"/>
    </row>
    <row r="193">
      <c r="B193" s="30"/>
    </row>
    <row r="194">
      <c r="B194" s="30"/>
    </row>
    <row r="195">
      <c r="B195" s="30"/>
    </row>
    <row r="196">
      <c r="B196" s="30"/>
    </row>
    <row r="197">
      <c r="B197" s="30"/>
    </row>
    <row r="198">
      <c r="B198" s="30"/>
    </row>
    <row r="199">
      <c r="B199" s="30"/>
    </row>
    <row r="200">
      <c r="B200" s="30"/>
    </row>
    <row r="201">
      <c r="B201" s="30"/>
    </row>
    <row r="202">
      <c r="B202" s="30"/>
    </row>
    <row r="203">
      <c r="B203" s="30"/>
    </row>
    <row r="204">
      <c r="B204" s="30"/>
    </row>
    <row r="205">
      <c r="B205" s="30"/>
    </row>
    <row r="206">
      <c r="B206" s="30"/>
    </row>
    <row r="207">
      <c r="B207" s="30"/>
    </row>
    <row r="208">
      <c r="B208" s="30"/>
    </row>
    <row r="209">
      <c r="B209" s="30"/>
    </row>
    <row r="210">
      <c r="B210" s="30"/>
    </row>
    <row r="211">
      <c r="B211" s="30"/>
    </row>
    <row r="212">
      <c r="B212" s="30"/>
    </row>
    <row r="213">
      <c r="B213" s="30"/>
    </row>
    <row r="214">
      <c r="B214" s="30"/>
    </row>
    <row r="215">
      <c r="B215" s="30"/>
    </row>
    <row r="216">
      <c r="B216" s="30"/>
    </row>
    <row r="217">
      <c r="B217" s="30"/>
    </row>
    <row r="218">
      <c r="B218" s="30"/>
    </row>
    <row r="219">
      <c r="B219" s="30"/>
    </row>
    <row r="220">
      <c r="B220" s="30"/>
    </row>
    <row r="221">
      <c r="B221" s="30"/>
    </row>
    <row r="222">
      <c r="B222" s="30"/>
    </row>
    <row r="223">
      <c r="B223" s="30"/>
    </row>
    <row r="224">
      <c r="B224" s="30"/>
    </row>
    <row r="225">
      <c r="B225" s="30"/>
    </row>
    <row r="226">
      <c r="B226" s="30"/>
    </row>
    <row r="227">
      <c r="B227" s="30"/>
    </row>
    <row r="228">
      <c r="B228" s="30"/>
    </row>
    <row r="229">
      <c r="B229" s="30"/>
    </row>
    <row r="230">
      <c r="B230" s="30"/>
    </row>
    <row r="231">
      <c r="B231" s="30"/>
    </row>
    <row r="232">
      <c r="B232" s="30"/>
    </row>
    <row r="233">
      <c r="B233" s="30"/>
    </row>
    <row r="234">
      <c r="B234" s="30"/>
    </row>
    <row r="235">
      <c r="B235" s="30"/>
    </row>
    <row r="236">
      <c r="B236" s="30"/>
    </row>
    <row r="237">
      <c r="B237" s="30"/>
    </row>
    <row r="238">
      <c r="B238" s="30"/>
    </row>
    <row r="239">
      <c r="B239" s="30"/>
    </row>
    <row r="240">
      <c r="B240" s="30"/>
    </row>
    <row r="241">
      <c r="B241" s="30"/>
    </row>
    <row r="242">
      <c r="B242" s="30"/>
    </row>
    <row r="243">
      <c r="B243" s="30"/>
    </row>
    <row r="244">
      <c r="B244" s="30"/>
    </row>
    <row r="245">
      <c r="B245" s="30"/>
    </row>
    <row r="246">
      <c r="B246" s="30"/>
    </row>
    <row r="247">
      <c r="B247" s="30"/>
    </row>
    <row r="248">
      <c r="B248" s="30"/>
    </row>
    <row r="249">
      <c r="B249" s="30"/>
    </row>
    <row r="250">
      <c r="B250" s="30"/>
    </row>
    <row r="251">
      <c r="B251" s="30"/>
    </row>
    <row r="252">
      <c r="B252" s="30"/>
    </row>
    <row r="253">
      <c r="B253" s="30"/>
    </row>
    <row r="254">
      <c r="B254" s="30"/>
    </row>
    <row r="255">
      <c r="B255" s="30"/>
    </row>
    <row r="256">
      <c r="B256" s="30"/>
    </row>
    <row r="257">
      <c r="B257" s="30"/>
    </row>
    <row r="258">
      <c r="B258" s="30"/>
    </row>
    <row r="259">
      <c r="B259" s="30"/>
    </row>
    <row r="260">
      <c r="B260" s="30"/>
    </row>
    <row r="261">
      <c r="B261" s="30"/>
    </row>
    <row r="262">
      <c r="B262" s="30"/>
    </row>
    <row r="263">
      <c r="B263" s="30"/>
    </row>
    <row r="264">
      <c r="B264" s="30"/>
    </row>
    <row r="265">
      <c r="B265" s="30"/>
    </row>
    <row r="266">
      <c r="B266" s="30"/>
    </row>
    <row r="267">
      <c r="B267" s="30"/>
    </row>
    <row r="268">
      <c r="B268" s="30"/>
    </row>
    <row r="269">
      <c r="B269" s="30"/>
    </row>
    <row r="270">
      <c r="B270" s="30"/>
    </row>
    <row r="271">
      <c r="B271" s="30"/>
    </row>
    <row r="272">
      <c r="B272" s="30"/>
    </row>
    <row r="273">
      <c r="B273" s="30"/>
    </row>
    <row r="274">
      <c r="B274" s="30"/>
    </row>
    <row r="275">
      <c r="B275" s="30"/>
    </row>
    <row r="276">
      <c r="B276" s="30"/>
    </row>
    <row r="277">
      <c r="B277" s="30"/>
    </row>
    <row r="278">
      <c r="B278" s="30"/>
    </row>
    <row r="279">
      <c r="B279" s="30"/>
    </row>
    <row r="280">
      <c r="B280" s="30"/>
    </row>
    <row r="281">
      <c r="B281" s="30"/>
    </row>
    <row r="282">
      <c r="B282" s="30"/>
    </row>
    <row r="283">
      <c r="B283" s="30"/>
    </row>
    <row r="284">
      <c r="B284" s="30"/>
    </row>
    <row r="285">
      <c r="B285" s="30"/>
    </row>
    <row r="286">
      <c r="B286" s="30"/>
    </row>
    <row r="287">
      <c r="B287" s="30"/>
    </row>
    <row r="288">
      <c r="B288" s="30"/>
    </row>
    <row r="289">
      <c r="B289" s="30"/>
    </row>
    <row r="290">
      <c r="B290" s="30"/>
    </row>
    <row r="291">
      <c r="B291" s="30"/>
    </row>
    <row r="292">
      <c r="B292" s="30"/>
    </row>
    <row r="293">
      <c r="B293" s="30"/>
    </row>
    <row r="294">
      <c r="B294" s="30"/>
    </row>
    <row r="295">
      <c r="B295" s="30"/>
    </row>
    <row r="296">
      <c r="B296" s="30"/>
    </row>
    <row r="297">
      <c r="B297" s="30"/>
    </row>
    <row r="298">
      <c r="B298" s="30"/>
    </row>
    <row r="299">
      <c r="B299" s="30"/>
    </row>
    <row r="300">
      <c r="B300" s="30"/>
    </row>
    <row r="301">
      <c r="B301" s="30"/>
    </row>
    <row r="302">
      <c r="B302" s="30"/>
    </row>
    <row r="303">
      <c r="B303" s="30"/>
    </row>
    <row r="304">
      <c r="B304" s="30"/>
    </row>
    <row r="305">
      <c r="B305" s="30"/>
    </row>
    <row r="306">
      <c r="B306" s="30"/>
    </row>
    <row r="307">
      <c r="B307" s="30"/>
    </row>
    <row r="308">
      <c r="B308" s="30"/>
    </row>
    <row r="309">
      <c r="B309" s="30"/>
    </row>
    <row r="310">
      <c r="B310" s="30"/>
    </row>
    <row r="311">
      <c r="B311" s="30"/>
    </row>
    <row r="312">
      <c r="B312" s="30"/>
    </row>
    <row r="313">
      <c r="B313" s="30"/>
    </row>
    <row r="314">
      <c r="B314" s="30"/>
    </row>
    <row r="315">
      <c r="B315" s="30"/>
    </row>
    <row r="316">
      <c r="B316" s="30"/>
    </row>
    <row r="317">
      <c r="B317" s="30"/>
    </row>
    <row r="318">
      <c r="B318" s="30"/>
    </row>
    <row r="319">
      <c r="B319" s="30"/>
    </row>
    <row r="320">
      <c r="B320" s="30"/>
    </row>
    <row r="321">
      <c r="B321" s="30"/>
    </row>
    <row r="322">
      <c r="B322" s="30"/>
    </row>
    <row r="323">
      <c r="B323" s="30"/>
    </row>
    <row r="324">
      <c r="B324" s="30"/>
    </row>
    <row r="325">
      <c r="B325" s="30"/>
    </row>
    <row r="326">
      <c r="B326" s="30"/>
    </row>
    <row r="327">
      <c r="B327" s="30"/>
    </row>
    <row r="328">
      <c r="B328" s="30"/>
    </row>
    <row r="329">
      <c r="B329" s="30"/>
    </row>
    <row r="330">
      <c r="B330" s="30"/>
    </row>
    <row r="331">
      <c r="B331" s="30"/>
    </row>
    <row r="332">
      <c r="B332" s="30"/>
    </row>
    <row r="333">
      <c r="B333" s="30"/>
    </row>
    <row r="334">
      <c r="B334" s="30"/>
    </row>
    <row r="335">
      <c r="B335" s="30"/>
    </row>
    <row r="336">
      <c r="B336" s="30"/>
    </row>
    <row r="337">
      <c r="B337" s="30"/>
    </row>
    <row r="338">
      <c r="B338" s="30"/>
    </row>
    <row r="339">
      <c r="B339" s="30"/>
    </row>
    <row r="340">
      <c r="B340" s="30"/>
    </row>
    <row r="341">
      <c r="B341" s="30"/>
    </row>
    <row r="342">
      <c r="B342" s="30"/>
    </row>
    <row r="343">
      <c r="B343" s="30"/>
    </row>
    <row r="344">
      <c r="B344" s="30"/>
    </row>
    <row r="345">
      <c r="B345" s="30"/>
    </row>
    <row r="346">
      <c r="B346" s="30"/>
    </row>
    <row r="347">
      <c r="B347" s="30"/>
    </row>
    <row r="348">
      <c r="B348" s="30"/>
    </row>
    <row r="349">
      <c r="B349" s="30"/>
    </row>
    <row r="350">
      <c r="B350" s="30"/>
    </row>
    <row r="351">
      <c r="B351" s="30"/>
    </row>
    <row r="352">
      <c r="B352" s="30"/>
    </row>
    <row r="353">
      <c r="B353" s="30"/>
    </row>
    <row r="354">
      <c r="B354" s="30"/>
    </row>
    <row r="355">
      <c r="B355" s="30"/>
    </row>
    <row r="356">
      <c r="B356" s="30"/>
    </row>
    <row r="357">
      <c r="B357" s="30"/>
    </row>
    <row r="358">
      <c r="B358" s="30"/>
    </row>
    <row r="359">
      <c r="B359" s="30"/>
    </row>
    <row r="360">
      <c r="B360" s="30"/>
    </row>
    <row r="361">
      <c r="B361" s="30"/>
    </row>
    <row r="362">
      <c r="B362" s="30"/>
    </row>
    <row r="363">
      <c r="B363" s="30"/>
    </row>
    <row r="364">
      <c r="B364" s="30"/>
    </row>
    <row r="365">
      <c r="B365" s="30"/>
    </row>
    <row r="366">
      <c r="B366" s="30"/>
    </row>
    <row r="367">
      <c r="B367" s="30"/>
    </row>
    <row r="368">
      <c r="B368" s="30"/>
    </row>
    <row r="369">
      <c r="B369" s="30"/>
    </row>
    <row r="370">
      <c r="B370" s="30"/>
    </row>
    <row r="371">
      <c r="B371" s="30"/>
    </row>
    <row r="372">
      <c r="B372" s="30"/>
    </row>
    <row r="373">
      <c r="B373" s="30"/>
    </row>
    <row r="374">
      <c r="B374" s="30"/>
    </row>
    <row r="375">
      <c r="B375" s="30"/>
    </row>
    <row r="376">
      <c r="B376" s="30"/>
    </row>
    <row r="377">
      <c r="B377" s="30"/>
    </row>
    <row r="378">
      <c r="B378" s="30"/>
    </row>
    <row r="379">
      <c r="B379" s="30"/>
    </row>
    <row r="380">
      <c r="B380" s="30"/>
    </row>
    <row r="381">
      <c r="B381" s="30"/>
    </row>
    <row r="382">
      <c r="B382" s="30"/>
    </row>
    <row r="383">
      <c r="B383" s="30"/>
    </row>
    <row r="384">
      <c r="B384" s="30"/>
    </row>
    <row r="385">
      <c r="B385" s="30"/>
    </row>
    <row r="386">
      <c r="B386" s="30"/>
    </row>
    <row r="387">
      <c r="B387" s="30"/>
    </row>
    <row r="388">
      <c r="B388" s="30"/>
    </row>
    <row r="389">
      <c r="B389" s="30"/>
    </row>
    <row r="390">
      <c r="B390" s="30"/>
    </row>
    <row r="391">
      <c r="B391" s="30"/>
    </row>
    <row r="392">
      <c r="B392" s="30"/>
    </row>
    <row r="393">
      <c r="B393" s="30"/>
    </row>
    <row r="394">
      <c r="B394" s="30"/>
    </row>
    <row r="395">
      <c r="B395" s="30"/>
    </row>
    <row r="396">
      <c r="B396" s="30"/>
    </row>
    <row r="397">
      <c r="B397" s="30"/>
    </row>
    <row r="398">
      <c r="B398" s="30"/>
    </row>
    <row r="399">
      <c r="B399" s="30"/>
    </row>
    <row r="400">
      <c r="B400" s="30"/>
    </row>
    <row r="401">
      <c r="B401" s="30"/>
    </row>
    <row r="402">
      <c r="B402" s="30"/>
    </row>
    <row r="403">
      <c r="B403" s="30"/>
    </row>
    <row r="404">
      <c r="B404" s="30"/>
    </row>
    <row r="405">
      <c r="B405" s="30"/>
    </row>
    <row r="406">
      <c r="B406" s="30"/>
    </row>
    <row r="407">
      <c r="B407" s="30"/>
    </row>
    <row r="408">
      <c r="B408" s="30"/>
    </row>
    <row r="409">
      <c r="B409" s="30"/>
    </row>
    <row r="410">
      <c r="B410" s="30"/>
    </row>
    <row r="411">
      <c r="B411" s="30"/>
    </row>
    <row r="412">
      <c r="B412" s="30"/>
    </row>
    <row r="413">
      <c r="B413" s="30"/>
    </row>
    <row r="414">
      <c r="B414" s="30"/>
    </row>
    <row r="415">
      <c r="B415" s="30"/>
    </row>
    <row r="416">
      <c r="B416" s="30"/>
    </row>
    <row r="417">
      <c r="B417" s="30"/>
    </row>
    <row r="418">
      <c r="B418" s="30"/>
    </row>
    <row r="419">
      <c r="B419" s="30"/>
    </row>
    <row r="420">
      <c r="B420" s="30"/>
    </row>
    <row r="421">
      <c r="B421" s="30"/>
    </row>
    <row r="422">
      <c r="B422" s="30"/>
    </row>
    <row r="423">
      <c r="B423" s="30"/>
    </row>
    <row r="424">
      <c r="B424" s="30"/>
    </row>
    <row r="425">
      <c r="B425" s="30"/>
    </row>
    <row r="426">
      <c r="B426" s="30"/>
    </row>
    <row r="427">
      <c r="B427" s="30"/>
    </row>
    <row r="428">
      <c r="B428" s="30"/>
    </row>
    <row r="429">
      <c r="B429" s="30"/>
    </row>
    <row r="430">
      <c r="B430" s="30"/>
    </row>
    <row r="431">
      <c r="B431" s="30"/>
    </row>
    <row r="432">
      <c r="B432" s="30"/>
    </row>
    <row r="433">
      <c r="B433" s="30"/>
    </row>
    <row r="434">
      <c r="B434" s="30"/>
    </row>
    <row r="435">
      <c r="B435" s="30"/>
    </row>
    <row r="436">
      <c r="B436" s="30"/>
    </row>
    <row r="437">
      <c r="B437" s="30"/>
    </row>
    <row r="438">
      <c r="B438" s="30"/>
    </row>
    <row r="439">
      <c r="B439" s="30"/>
    </row>
    <row r="440">
      <c r="B440" s="30"/>
    </row>
    <row r="441">
      <c r="B441" s="30"/>
    </row>
    <row r="442">
      <c r="B442" s="30"/>
    </row>
    <row r="443">
      <c r="B443" s="30"/>
    </row>
    <row r="444">
      <c r="B444" s="30"/>
    </row>
    <row r="445">
      <c r="B445" s="30"/>
    </row>
    <row r="446">
      <c r="B446" s="30"/>
    </row>
    <row r="447">
      <c r="B447" s="30"/>
    </row>
    <row r="448">
      <c r="B448" s="30"/>
    </row>
    <row r="449">
      <c r="B449" s="30"/>
    </row>
    <row r="450">
      <c r="B450" s="30"/>
    </row>
    <row r="451">
      <c r="B451" s="30"/>
    </row>
    <row r="452">
      <c r="B452" s="30"/>
    </row>
    <row r="453">
      <c r="B453" s="30"/>
    </row>
    <row r="454">
      <c r="B454" s="30"/>
    </row>
    <row r="455">
      <c r="B455" s="30"/>
    </row>
    <row r="456">
      <c r="B456" s="30"/>
    </row>
    <row r="457">
      <c r="B457" s="30"/>
    </row>
    <row r="458">
      <c r="B458" s="30"/>
    </row>
    <row r="459">
      <c r="B459" s="30"/>
    </row>
    <row r="460">
      <c r="B460" s="30"/>
    </row>
    <row r="461">
      <c r="B461" s="30"/>
    </row>
    <row r="462">
      <c r="B462" s="30"/>
    </row>
    <row r="463">
      <c r="B463" s="30"/>
    </row>
    <row r="464">
      <c r="B464" s="30"/>
    </row>
    <row r="465">
      <c r="B465" s="30"/>
    </row>
    <row r="466">
      <c r="B466" s="30"/>
    </row>
    <row r="467">
      <c r="B467" s="30"/>
    </row>
    <row r="468">
      <c r="B468" s="30"/>
    </row>
    <row r="469">
      <c r="B469" s="30"/>
    </row>
    <row r="470">
      <c r="B470" s="30"/>
    </row>
    <row r="471">
      <c r="B471" s="30"/>
    </row>
    <row r="472">
      <c r="B472" s="30"/>
    </row>
    <row r="473">
      <c r="B473" s="30"/>
    </row>
    <row r="474">
      <c r="B474" s="30"/>
    </row>
    <row r="475">
      <c r="B475" s="30"/>
    </row>
    <row r="476">
      <c r="B476" s="30"/>
    </row>
    <row r="477">
      <c r="B477" s="30"/>
    </row>
    <row r="478">
      <c r="B478" s="30"/>
    </row>
    <row r="479">
      <c r="B479" s="30"/>
    </row>
    <row r="480">
      <c r="B480" s="30"/>
    </row>
    <row r="481">
      <c r="B481" s="30"/>
    </row>
    <row r="482">
      <c r="B482" s="30"/>
    </row>
    <row r="483">
      <c r="B483" s="30"/>
    </row>
    <row r="484">
      <c r="B484" s="30"/>
    </row>
    <row r="485">
      <c r="B485" s="30"/>
    </row>
    <row r="486">
      <c r="B486" s="30"/>
    </row>
    <row r="487">
      <c r="B487" s="30"/>
    </row>
    <row r="488">
      <c r="B488" s="30"/>
    </row>
    <row r="489">
      <c r="B489" s="30"/>
    </row>
    <row r="490">
      <c r="B490" s="30"/>
    </row>
    <row r="491">
      <c r="B491" s="30"/>
    </row>
    <row r="492">
      <c r="B492" s="30"/>
    </row>
    <row r="493">
      <c r="B493" s="30"/>
    </row>
    <row r="494">
      <c r="B494" s="30"/>
    </row>
    <row r="495">
      <c r="B495" s="30"/>
    </row>
    <row r="496">
      <c r="B496" s="30"/>
    </row>
    <row r="497">
      <c r="B497" s="30"/>
    </row>
    <row r="498">
      <c r="B498" s="30"/>
    </row>
    <row r="499">
      <c r="B499" s="30"/>
    </row>
    <row r="500">
      <c r="B500" s="30"/>
    </row>
    <row r="501">
      <c r="B501" s="30"/>
    </row>
    <row r="502">
      <c r="B502" s="30"/>
    </row>
    <row r="503">
      <c r="B503" s="30"/>
    </row>
    <row r="504">
      <c r="B504" s="30"/>
    </row>
    <row r="505">
      <c r="B505" s="30"/>
    </row>
    <row r="506">
      <c r="B506" s="30"/>
    </row>
    <row r="507">
      <c r="B507" s="30"/>
    </row>
    <row r="508">
      <c r="B508" s="30"/>
    </row>
    <row r="509">
      <c r="B509" s="30"/>
    </row>
    <row r="510">
      <c r="B510" s="30"/>
    </row>
    <row r="511">
      <c r="B511" s="30"/>
    </row>
    <row r="512">
      <c r="B512" s="30"/>
    </row>
    <row r="513">
      <c r="B513" s="30"/>
    </row>
    <row r="514">
      <c r="B514" s="30"/>
    </row>
    <row r="515">
      <c r="B515" s="30"/>
    </row>
    <row r="516">
      <c r="B516" s="30"/>
    </row>
    <row r="517">
      <c r="B517" s="30"/>
    </row>
    <row r="518">
      <c r="B518" s="30"/>
    </row>
    <row r="519">
      <c r="B519" s="30"/>
    </row>
    <row r="520">
      <c r="B520" s="30"/>
    </row>
    <row r="521">
      <c r="B521" s="30"/>
    </row>
    <row r="522">
      <c r="B522" s="30"/>
    </row>
    <row r="523">
      <c r="B523" s="30"/>
    </row>
    <row r="524">
      <c r="B524" s="30"/>
    </row>
    <row r="525">
      <c r="B525" s="30"/>
    </row>
    <row r="526">
      <c r="B526" s="30"/>
    </row>
    <row r="527">
      <c r="B527" s="30"/>
    </row>
    <row r="528">
      <c r="B528" s="30"/>
    </row>
    <row r="529">
      <c r="B529" s="30"/>
    </row>
    <row r="530">
      <c r="B530" s="30"/>
    </row>
    <row r="531">
      <c r="B531" s="30"/>
    </row>
    <row r="532">
      <c r="B532" s="30"/>
    </row>
    <row r="533">
      <c r="B533" s="30"/>
    </row>
    <row r="534">
      <c r="B534" s="30"/>
    </row>
    <row r="535">
      <c r="B535" s="30"/>
    </row>
    <row r="536">
      <c r="B536" s="30"/>
    </row>
    <row r="537">
      <c r="B537" s="30"/>
    </row>
    <row r="538">
      <c r="B538" s="30"/>
    </row>
    <row r="539">
      <c r="B539" s="30"/>
    </row>
    <row r="540">
      <c r="B540" s="30"/>
    </row>
    <row r="541">
      <c r="B541" s="30"/>
    </row>
    <row r="542">
      <c r="B542" s="30"/>
    </row>
    <row r="543">
      <c r="B543" s="30"/>
    </row>
    <row r="544">
      <c r="B544" s="30"/>
    </row>
    <row r="545">
      <c r="B545" s="30"/>
    </row>
    <row r="546">
      <c r="B546" s="30"/>
    </row>
    <row r="547">
      <c r="B547" s="30"/>
    </row>
    <row r="548">
      <c r="B548" s="30"/>
    </row>
    <row r="549">
      <c r="B549" s="30"/>
    </row>
    <row r="550">
      <c r="B550" s="30"/>
    </row>
    <row r="551">
      <c r="B551" s="30"/>
    </row>
    <row r="552">
      <c r="B552" s="30"/>
    </row>
    <row r="553">
      <c r="B553" s="30"/>
    </row>
    <row r="554">
      <c r="B554" s="30"/>
    </row>
    <row r="555">
      <c r="B555" s="30"/>
    </row>
    <row r="556">
      <c r="B556" s="30"/>
    </row>
    <row r="557">
      <c r="B557" s="30"/>
    </row>
    <row r="558">
      <c r="B558" s="30"/>
    </row>
    <row r="559">
      <c r="B559" s="30"/>
    </row>
    <row r="560">
      <c r="B560" s="30"/>
    </row>
    <row r="561">
      <c r="B561" s="30"/>
    </row>
    <row r="562">
      <c r="B562" s="30"/>
    </row>
    <row r="563">
      <c r="B563" s="30"/>
    </row>
    <row r="564">
      <c r="B564" s="30"/>
    </row>
    <row r="565">
      <c r="B565" s="30"/>
    </row>
    <row r="566">
      <c r="B566" s="30"/>
    </row>
    <row r="567">
      <c r="B567" s="30"/>
    </row>
    <row r="568">
      <c r="B568" s="30"/>
    </row>
    <row r="569">
      <c r="B569" s="30"/>
    </row>
    <row r="570">
      <c r="B570" s="30"/>
    </row>
    <row r="571">
      <c r="B571" s="30"/>
    </row>
    <row r="572">
      <c r="B572" s="30"/>
    </row>
    <row r="573">
      <c r="B573" s="30"/>
    </row>
    <row r="574">
      <c r="B574" s="30"/>
    </row>
    <row r="575">
      <c r="B575" s="30"/>
    </row>
    <row r="576">
      <c r="B576" s="30"/>
    </row>
    <row r="577">
      <c r="B577" s="30"/>
    </row>
    <row r="578">
      <c r="B578" s="30"/>
    </row>
    <row r="579">
      <c r="B579" s="30"/>
    </row>
    <row r="580">
      <c r="B580" s="30"/>
    </row>
    <row r="581">
      <c r="B581" s="30"/>
    </row>
    <row r="582">
      <c r="B582" s="30"/>
    </row>
    <row r="583">
      <c r="B583" s="30"/>
    </row>
    <row r="584">
      <c r="B584" s="30"/>
    </row>
    <row r="585">
      <c r="B585" s="30"/>
    </row>
    <row r="586">
      <c r="B586" s="30"/>
    </row>
    <row r="587">
      <c r="B587" s="30"/>
    </row>
    <row r="588">
      <c r="B588" s="30"/>
    </row>
    <row r="589">
      <c r="B589" s="30"/>
    </row>
    <row r="590">
      <c r="B590" s="30"/>
    </row>
    <row r="591">
      <c r="B591" s="30"/>
    </row>
    <row r="592">
      <c r="B592" s="30"/>
    </row>
    <row r="593">
      <c r="B593" s="30"/>
    </row>
    <row r="594">
      <c r="B594" s="30"/>
    </row>
    <row r="595">
      <c r="B595" s="30"/>
    </row>
    <row r="596">
      <c r="B596" s="30"/>
    </row>
    <row r="597">
      <c r="B597" s="30"/>
    </row>
    <row r="598">
      <c r="B598" s="30"/>
    </row>
    <row r="599">
      <c r="B599" s="30"/>
    </row>
    <row r="600">
      <c r="B600" s="30"/>
    </row>
    <row r="601">
      <c r="B601" s="30"/>
    </row>
    <row r="602">
      <c r="B602" s="30"/>
    </row>
    <row r="603">
      <c r="B603" s="30"/>
    </row>
    <row r="604">
      <c r="B604" s="30"/>
    </row>
    <row r="605">
      <c r="B605" s="30"/>
    </row>
    <row r="606">
      <c r="B606" s="30"/>
    </row>
    <row r="607">
      <c r="B607" s="30"/>
    </row>
    <row r="608">
      <c r="B608" s="30"/>
    </row>
    <row r="609">
      <c r="B609" s="30"/>
    </row>
    <row r="610">
      <c r="B610" s="30"/>
    </row>
    <row r="611">
      <c r="B611" s="30"/>
    </row>
    <row r="612">
      <c r="B612" s="30"/>
    </row>
    <row r="613">
      <c r="B613" s="30"/>
    </row>
    <row r="614">
      <c r="B614" s="30"/>
    </row>
    <row r="615">
      <c r="B615" s="30"/>
    </row>
    <row r="616">
      <c r="B616" s="30"/>
    </row>
    <row r="617">
      <c r="B617" s="30"/>
    </row>
    <row r="618">
      <c r="B618" s="30"/>
    </row>
    <row r="619">
      <c r="B619" s="30"/>
    </row>
    <row r="620">
      <c r="B620" s="30"/>
    </row>
    <row r="621">
      <c r="B621" s="30"/>
    </row>
    <row r="622">
      <c r="B622" s="30"/>
    </row>
    <row r="623">
      <c r="B623" s="30"/>
    </row>
    <row r="624">
      <c r="B624" s="30"/>
    </row>
    <row r="625">
      <c r="B625" s="30"/>
    </row>
    <row r="626">
      <c r="B626" s="30"/>
    </row>
    <row r="627">
      <c r="B627" s="30"/>
    </row>
    <row r="628">
      <c r="B628" s="30"/>
    </row>
    <row r="629">
      <c r="B629" s="30"/>
    </row>
    <row r="630">
      <c r="B630" s="30"/>
    </row>
    <row r="631">
      <c r="B631" s="30"/>
    </row>
    <row r="632">
      <c r="B632" s="30"/>
    </row>
    <row r="633">
      <c r="B633" s="30"/>
    </row>
    <row r="634">
      <c r="B634" s="30"/>
    </row>
    <row r="635">
      <c r="B635" s="30"/>
    </row>
    <row r="636">
      <c r="B636" s="30"/>
    </row>
    <row r="637">
      <c r="B637" s="30"/>
    </row>
    <row r="638">
      <c r="B638" s="30"/>
    </row>
    <row r="639">
      <c r="B639" s="30"/>
    </row>
    <row r="640">
      <c r="B640" s="30"/>
    </row>
    <row r="641">
      <c r="B641" s="30"/>
    </row>
    <row r="642">
      <c r="B642" s="30"/>
    </row>
    <row r="643">
      <c r="B643" s="30"/>
    </row>
    <row r="644">
      <c r="B644" s="30"/>
    </row>
    <row r="645">
      <c r="B645" s="30"/>
    </row>
    <row r="646">
      <c r="B646" s="30"/>
    </row>
    <row r="647">
      <c r="B647" s="30"/>
    </row>
    <row r="648">
      <c r="B648" s="30"/>
    </row>
    <row r="649">
      <c r="B649" s="30"/>
    </row>
    <row r="650">
      <c r="B650" s="30"/>
    </row>
    <row r="651">
      <c r="B651" s="30"/>
    </row>
    <row r="652">
      <c r="B652" s="30"/>
    </row>
    <row r="653">
      <c r="B653" s="30"/>
    </row>
    <row r="654">
      <c r="B654" s="30"/>
    </row>
    <row r="655">
      <c r="B655" s="30"/>
    </row>
    <row r="656">
      <c r="B656" s="30"/>
    </row>
    <row r="657">
      <c r="B657" s="30"/>
    </row>
    <row r="658">
      <c r="B658" s="30"/>
    </row>
    <row r="659">
      <c r="B659" s="30"/>
    </row>
    <row r="660">
      <c r="B660" s="30"/>
    </row>
    <row r="661">
      <c r="B661" s="30"/>
    </row>
    <row r="662">
      <c r="B662" s="30"/>
    </row>
    <row r="663">
      <c r="B663" s="30"/>
    </row>
    <row r="664">
      <c r="B664" s="30"/>
    </row>
    <row r="665">
      <c r="B665" s="30"/>
    </row>
    <row r="666">
      <c r="B666" s="30"/>
    </row>
    <row r="667">
      <c r="B667" s="30"/>
    </row>
    <row r="668">
      <c r="B668" s="30"/>
    </row>
    <row r="669">
      <c r="B669" s="30"/>
    </row>
    <row r="670">
      <c r="B670" s="30"/>
    </row>
    <row r="671">
      <c r="B671" s="30"/>
    </row>
    <row r="672">
      <c r="B672" s="30"/>
    </row>
    <row r="673">
      <c r="B673" s="30"/>
    </row>
    <row r="674">
      <c r="B674" s="30"/>
    </row>
    <row r="675">
      <c r="B675" s="30"/>
    </row>
    <row r="676">
      <c r="B676" s="30"/>
    </row>
    <row r="677">
      <c r="B677" s="30"/>
    </row>
    <row r="678">
      <c r="B678" s="30"/>
    </row>
    <row r="679">
      <c r="B679" s="30"/>
    </row>
    <row r="680">
      <c r="B680" s="30"/>
    </row>
    <row r="681">
      <c r="B681" s="30"/>
    </row>
    <row r="682">
      <c r="B682" s="30"/>
    </row>
    <row r="683">
      <c r="B683" s="30"/>
    </row>
    <row r="684">
      <c r="B684" s="30"/>
    </row>
    <row r="685">
      <c r="B685" s="30"/>
    </row>
    <row r="686">
      <c r="B686" s="30"/>
    </row>
    <row r="687">
      <c r="B687" s="30"/>
    </row>
    <row r="688">
      <c r="B688" s="30"/>
    </row>
    <row r="689">
      <c r="B689" s="30"/>
    </row>
    <row r="690">
      <c r="B690" s="30"/>
    </row>
    <row r="691">
      <c r="B691" s="30"/>
    </row>
    <row r="692">
      <c r="B692" s="30"/>
    </row>
    <row r="693">
      <c r="B693" s="30"/>
    </row>
    <row r="694">
      <c r="B694" s="30"/>
    </row>
    <row r="695">
      <c r="B695" s="30"/>
    </row>
    <row r="696">
      <c r="B696" s="30"/>
    </row>
    <row r="697">
      <c r="B697" s="30"/>
    </row>
    <row r="698">
      <c r="B698" s="30"/>
    </row>
    <row r="699">
      <c r="B699" s="30"/>
    </row>
    <row r="700">
      <c r="B700" s="30"/>
    </row>
    <row r="701">
      <c r="B701" s="30"/>
    </row>
    <row r="702">
      <c r="B702" s="30"/>
    </row>
    <row r="703">
      <c r="B703" s="30"/>
    </row>
    <row r="704">
      <c r="B704" s="30"/>
    </row>
    <row r="705">
      <c r="B705" s="30"/>
    </row>
    <row r="706">
      <c r="B706" s="30"/>
    </row>
    <row r="707">
      <c r="B707" s="30"/>
    </row>
    <row r="708">
      <c r="B708" s="30"/>
    </row>
    <row r="709">
      <c r="B709" s="30"/>
    </row>
    <row r="710">
      <c r="B710" s="30"/>
    </row>
    <row r="711">
      <c r="B711" s="30"/>
    </row>
    <row r="712">
      <c r="B712" s="30"/>
    </row>
    <row r="713">
      <c r="B713" s="30"/>
    </row>
    <row r="714">
      <c r="B714" s="30"/>
    </row>
    <row r="715">
      <c r="B715" s="30"/>
    </row>
    <row r="716">
      <c r="B716" s="30"/>
    </row>
    <row r="717">
      <c r="B717" s="30"/>
    </row>
    <row r="718">
      <c r="B718" s="30"/>
    </row>
    <row r="719">
      <c r="B719" s="30"/>
    </row>
    <row r="720">
      <c r="B720" s="30"/>
    </row>
    <row r="721">
      <c r="B721" s="30"/>
    </row>
    <row r="722">
      <c r="B722" s="30"/>
    </row>
    <row r="723">
      <c r="B723" s="30"/>
    </row>
    <row r="724">
      <c r="B724" s="30"/>
    </row>
    <row r="725">
      <c r="B725" s="30"/>
    </row>
    <row r="726">
      <c r="B726" s="30"/>
    </row>
    <row r="727">
      <c r="B727" s="30"/>
    </row>
    <row r="728">
      <c r="B728" s="30"/>
    </row>
    <row r="729">
      <c r="B729" s="30"/>
    </row>
    <row r="730">
      <c r="B730" s="30"/>
    </row>
    <row r="731">
      <c r="B731" s="30"/>
    </row>
    <row r="732">
      <c r="B732" s="30"/>
    </row>
    <row r="733">
      <c r="B733" s="30"/>
    </row>
    <row r="734">
      <c r="B734" s="30"/>
    </row>
    <row r="735">
      <c r="B735" s="30"/>
    </row>
    <row r="736">
      <c r="B736" s="30"/>
    </row>
    <row r="737">
      <c r="B737" s="30"/>
    </row>
    <row r="738">
      <c r="B738" s="30"/>
    </row>
    <row r="739">
      <c r="B739" s="30"/>
    </row>
    <row r="740">
      <c r="B740" s="30"/>
    </row>
    <row r="741">
      <c r="B741" s="30"/>
    </row>
    <row r="742">
      <c r="B742" s="30"/>
    </row>
    <row r="743">
      <c r="B743" s="30"/>
    </row>
    <row r="744">
      <c r="B744" s="30"/>
    </row>
    <row r="745">
      <c r="B745" s="30"/>
    </row>
    <row r="746">
      <c r="B746" s="30"/>
    </row>
    <row r="747">
      <c r="B747" s="30"/>
    </row>
    <row r="748">
      <c r="B748" s="30"/>
    </row>
    <row r="749">
      <c r="B749" s="30"/>
    </row>
    <row r="750">
      <c r="B750" s="30"/>
    </row>
    <row r="751">
      <c r="B751" s="30"/>
    </row>
    <row r="752">
      <c r="B752" s="30"/>
    </row>
    <row r="753">
      <c r="B753" s="30"/>
    </row>
    <row r="754">
      <c r="B754" s="30"/>
    </row>
    <row r="755">
      <c r="B755" s="30"/>
    </row>
    <row r="756">
      <c r="B756" s="30"/>
    </row>
    <row r="757">
      <c r="B757" s="30"/>
    </row>
    <row r="758">
      <c r="B758" s="30"/>
    </row>
    <row r="759">
      <c r="B759" s="30"/>
    </row>
    <row r="760">
      <c r="B760" s="30"/>
    </row>
    <row r="761">
      <c r="B761" s="30"/>
    </row>
    <row r="762">
      <c r="B762" s="30"/>
    </row>
    <row r="763">
      <c r="B763" s="30"/>
    </row>
    <row r="764">
      <c r="B764" s="30"/>
    </row>
    <row r="765">
      <c r="B765" s="30"/>
    </row>
    <row r="766">
      <c r="B766" s="30"/>
    </row>
    <row r="767">
      <c r="B767" s="30"/>
    </row>
    <row r="768">
      <c r="B768" s="30"/>
    </row>
    <row r="769">
      <c r="B769" s="30"/>
    </row>
    <row r="770">
      <c r="B770" s="30"/>
    </row>
    <row r="771">
      <c r="B771" s="30"/>
    </row>
    <row r="772">
      <c r="B772" s="30"/>
    </row>
    <row r="773">
      <c r="B773" s="30"/>
    </row>
    <row r="774">
      <c r="B774" s="30"/>
    </row>
    <row r="775">
      <c r="B775" s="30"/>
    </row>
    <row r="776">
      <c r="B776" s="30"/>
    </row>
    <row r="777">
      <c r="B777" s="30"/>
    </row>
    <row r="778">
      <c r="B778" s="30"/>
    </row>
    <row r="779">
      <c r="B779" s="30"/>
    </row>
    <row r="780">
      <c r="B780" s="30"/>
    </row>
    <row r="781">
      <c r="B781" s="30"/>
    </row>
    <row r="782">
      <c r="B782" s="30"/>
    </row>
    <row r="783">
      <c r="B783" s="30"/>
    </row>
    <row r="784">
      <c r="B784" s="30"/>
    </row>
    <row r="785">
      <c r="B785" s="30"/>
    </row>
    <row r="786">
      <c r="B786" s="30"/>
    </row>
    <row r="787">
      <c r="B787" s="30"/>
    </row>
    <row r="788">
      <c r="B788" s="30"/>
    </row>
    <row r="789">
      <c r="B789" s="30"/>
    </row>
    <row r="790">
      <c r="B790" s="30"/>
    </row>
    <row r="791">
      <c r="B791" s="30"/>
    </row>
    <row r="792">
      <c r="B792" s="30"/>
    </row>
    <row r="793">
      <c r="B793" s="30"/>
    </row>
    <row r="794">
      <c r="B794" s="30"/>
    </row>
    <row r="795">
      <c r="B795" s="30"/>
    </row>
    <row r="796">
      <c r="B796" s="30"/>
    </row>
    <row r="797">
      <c r="B797" s="30"/>
    </row>
    <row r="798">
      <c r="B798" s="30"/>
    </row>
    <row r="799">
      <c r="B799" s="30"/>
    </row>
    <row r="800">
      <c r="B800" s="30"/>
    </row>
    <row r="801">
      <c r="B801" s="30"/>
    </row>
    <row r="802">
      <c r="B802" s="30"/>
    </row>
    <row r="803">
      <c r="B803" s="30"/>
    </row>
    <row r="804">
      <c r="B804" s="30"/>
    </row>
    <row r="805">
      <c r="B805" s="30"/>
    </row>
    <row r="806">
      <c r="B806" s="30"/>
    </row>
    <row r="807">
      <c r="B807" s="30"/>
    </row>
    <row r="808">
      <c r="B808" s="30"/>
    </row>
    <row r="809">
      <c r="B809" s="30"/>
    </row>
    <row r="810">
      <c r="B810" s="30"/>
    </row>
    <row r="811">
      <c r="B811" s="30"/>
    </row>
    <row r="812">
      <c r="B812" s="30"/>
    </row>
    <row r="813">
      <c r="B813" s="30"/>
    </row>
    <row r="814">
      <c r="B814" s="30"/>
    </row>
    <row r="815">
      <c r="B815" s="30"/>
    </row>
    <row r="816">
      <c r="B816" s="30"/>
    </row>
    <row r="817">
      <c r="B817" s="30"/>
    </row>
    <row r="818">
      <c r="B818" s="30"/>
    </row>
    <row r="819">
      <c r="B819" s="30"/>
    </row>
    <row r="820">
      <c r="B820" s="30"/>
    </row>
    <row r="821">
      <c r="B821" s="30"/>
    </row>
    <row r="822">
      <c r="B822" s="30"/>
    </row>
    <row r="823">
      <c r="B823" s="30"/>
    </row>
    <row r="824">
      <c r="B824" s="30"/>
    </row>
    <row r="825">
      <c r="B825" s="30"/>
    </row>
    <row r="826">
      <c r="B826" s="30"/>
    </row>
    <row r="827">
      <c r="B827" s="30"/>
    </row>
    <row r="828">
      <c r="B828" s="30"/>
    </row>
    <row r="829">
      <c r="B829" s="30"/>
    </row>
    <row r="830">
      <c r="B830" s="30"/>
    </row>
    <row r="831">
      <c r="B831" s="30"/>
    </row>
    <row r="832">
      <c r="B832" s="30"/>
    </row>
    <row r="833">
      <c r="B833" s="30"/>
    </row>
    <row r="834">
      <c r="B834" s="30"/>
    </row>
    <row r="835">
      <c r="B835" s="30"/>
    </row>
    <row r="836">
      <c r="B836" s="30"/>
    </row>
    <row r="837">
      <c r="B837" s="30"/>
    </row>
    <row r="838">
      <c r="B838" s="30"/>
    </row>
    <row r="839">
      <c r="B839" s="30"/>
    </row>
    <row r="840">
      <c r="B840" s="30"/>
    </row>
    <row r="841">
      <c r="B841" s="30"/>
    </row>
    <row r="842">
      <c r="B842" s="30"/>
    </row>
    <row r="843">
      <c r="B843" s="30"/>
    </row>
    <row r="844">
      <c r="B844" s="30"/>
    </row>
    <row r="845">
      <c r="B845" s="30"/>
    </row>
    <row r="846">
      <c r="B846" s="30"/>
    </row>
    <row r="847">
      <c r="B847" s="30"/>
    </row>
    <row r="848">
      <c r="B848" s="30"/>
    </row>
    <row r="849">
      <c r="B849" s="30"/>
    </row>
    <row r="850">
      <c r="B850" s="30"/>
    </row>
    <row r="851">
      <c r="B851" s="30"/>
    </row>
    <row r="852">
      <c r="B852" s="30"/>
    </row>
    <row r="853">
      <c r="B853" s="30"/>
    </row>
    <row r="854">
      <c r="B854" s="30"/>
    </row>
    <row r="855">
      <c r="B855" s="30"/>
    </row>
    <row r="856">
      <c r="B856" s="30"/>
    </row>
    <row r="857">
      <c r="B857" s="30"/>
    </row>
    <row r="858">
      <c r="B858" s="30"/>
    </row>
    <row r="859">
      <c r="B859" s="30"/>
    </row>
    <row r="860">
      <c r="B860" s="30"/>
    </row>
    <row r="861">
      <c r="B861" s="30"/>
    </row>
    <row r="862">
      <c r="B862" s="30"/>
    </row>
    <row r="863">
      <c r="B863" s="30"/>
    </row>
    <row r="864">
      <c r="B864" s="30"/>
    </row>
    <row r="865">
      <c r="B865" s="30"/>
    </row>
    <row r="866">
      <c r="B866" s="30"/>
    </row>
    <row r="867">
      <c r="B867" s="30"/>
    </row>
    <row r="868">
      <c r="B868" s="30"/>
    </row>
    <row r="869">
      <c r="B869" s="30"/>
    </row>
    <row r="870">
      <c r="B870" s="30"/>
    </row>
    <row r="871">
      <c r="B871" s="30"/>
    </row>
    <row r="872">
      <c r="B872" s="30"/>
    </row>
    <row r="873">
      <c r="B873" s="30"/>
    </row>
    <row r="874">
      <c r="B874" s="30"/>
    </row>
    <row r="875">
      <c r="B875" s="30"/>
    </row>
    <row r="876">
      <c r="B876" s="30"/>
    </row>
    <row r="877">
      <c r="B877" s="30"/>
    </row>
    <row r="878">
      <c r="B878" s="30"/>
    </row>
    <row r="879">
      <c r="B879" s="30"/>
    </row>
    <row r="880">
      <c r="B880" s="30"/>
    </row>
    <row r="881">
      <c r="B881" s="30"/>
    </row>
    <row r="882">
      <c r="B882" s="30"/>
    </row>
    <row r="883">
      <c r="B883" s="30"/>
    </row>
    <row r="884">
      <c r="B884" s="30"/>
    </row>
    <row r="885">
      <c r="B885" s="30"/>
    </row>
    <row r="886">
      <c r="B886" s="30"/>
    </row>
    <row r="887">
      <c r="B887" s="30"/>
    </row>
    <row r="888">
      <c r="B888" s="30"/>
    </row>
    <row r="889">
      <c r="B889" s="30"/>
    </row>
    <row r="890">
      <c r="B890" s="30"/>
    </row>
    <row r="891">
      <c r="B891" s="30"/>
    </row>
    <row r="892">
      <c r="B892" s="30"/>
    </row>
    <row r="893">
      <c r="B893" s="30"/>
    </row>
    <row r="894">
      <c r="B894" s="30"/>
    </row>
    <row r="895">
      <c r="B895" s="30"/>
    </row>
    <row r="896">
      <c r="B896" s="30"/>
    </row>
    <row r="897">
      <c r="B897" s="30"/>
    </row>
    <row r="898">
      <c r="B898" s="30"/>
    </row>
    <row r="899">
      <c r="B899" s="30"/>
    </row>
    <row r="900">
      <c r="B900" s="30"/>
    </row>
    <row r="901">
      <c r="B901" s="30"/>
    </row>
    <row r="902">
      <c r="B902" s="30"/>
    </row>
    <row r="903">
      <c r="B903" s="30"/>
    </row>
    <row r="904">
      <c r="B904" s="30"/>
    </row>
    <row r="905">
      <c r="B905" s="30"/>
    </row>
    <row r="906">
      <c r="B906" s="30"/>
    </row>
    <row r="907">
      <c r="B907" s="30"/>
    </row>
    <row r="908">
      <c r="B908" s="30"/>
    </row>
    <row r="909">
      <c r="B909" s="30"/>
    </row>
    <row r="910">
      <c r="B910" s="30"/>
    </row>
    <row r="911">
      <c r="B911" s="30"/>
    </row>
    <row r="912">
      <c r="B912" s="30"/>
    </row>
    <row r="913">
      <c r="B913" s="30"/>
    </row>
    <row r="914">
      <c r="B914" s="30"/>
    </row>
    <row r="915">
      <c r="B915" s="30"/>
    </row>
    <row r="916">
      <c r="B916" s="30"/>
    </row>
    <row r="917">
      <c r="B917" s="30"/>
    </row>
    <row r="918">
      <c r="B918" s="30"/>
    </row>
    <row r="919">
      <c r="B919" s="30"/>
    </row>
    <row r="920">
      <c r="B920" s="30"/>
    </row>
    <row r="921">
      <c r="B921" s="30"/>
    </row>
    <row r="922">
      <c r="B922" s="30"/>
    </row>
    <row r="923">
      <c r="B923" s="30"/>
    </row>
    <row r="924">
      <c r="B924" s="30"/>
    </row>
    <row r="925">
      <c r="B925" s="30"/>
    </row>
    <row r="926">
      <c r="B926" s="30"/>
    </row>
    <row r="927">
      <c r="B927" s="30"/>
    </row>
    <row r="928">
      <c r="B928" s="30"/>
    </row>
    <row r="929">
      <c r="B929" s="30"/>
    </row>
    <row r="930">
      <c r="B930" s="30"/>
    </row>
    <row r="931">
      <c r="B931" s="30"/>
    </row>
    <row r="932">
      <c r="B932" s="30"/>
    </row>
    <row r="933">
      <c r="B933" s="30"/>
    </row>
    <row r="934">
      <c r="B934" s="30"/>
    </row>
    <row r="935">
      <c r="B935" s="30"/>
    </row>
    <row r="936">
      <c r="B936" s="30"/>
    </row>
    <row r="937">
      <c r="B937" s="30"/>
    </row>
    <row r="938">
      <c r="B938" s="30"/>
    </row>
    <row r="939">
      <c r="B939" s="30"/>
    </row>
    <row r="940">
      <c r="B940" s="30"/>
    </row>
    <row r="941">
      <c r="B941" s="30"/>
    </row>
    <row r="942">
      <c r="B942" s="30"/>
    </row>
    <row r="943">
      <c r="B943" s="30"/>
    </row>
    <row r="944">
      <c r="B944" s="30"/>
    </row>
    <row r="945">
      <c r="B945" s="30"/>
    </row>
    <row r="946">
      <c r="B946" s="30"/>
    </row>
    <row r="947">
      <c r="B947" s="30"/>
    </row>
    <row r="948">
      <c r="B948" s="30"/>
    </row>
    <row r="949">
      <c r="B949" s="30"/>
    </row>
    <row r="950">
      <c r="B950" s="30"/>
    </row>
    <row r="951">
      <c r="B951" s="30"/>
    </row>
    <row r="952">
      <c r="B952" s="30"/>
    </row>
    <row r="953">
      <c r="B953" s="30"/>
    </row>
    <row r="954">
      <c r="B954" s="30"/>
    </row>
    <row r="955">
      <c r="B955" s="30"/>
    </row>
    <row r="956">
      <c r="B956" s="30"/>
    </row>
    <row r="957">
      <c r="B957" s="30"/>
    </row>
    <row r="958">
      <c r="B958" s="30"/>
    </row>
    <row r="959">
      <c r="B959" s="30"/>
    </row>
    <row r="960">
      <c r="B960" s="30"/>
    </row>
    <row r="961">
      <c r="B961" s="30"/>
    </row>
    <row r="962">
      <c r="B962" s="30"/>
    </row>
    <row r="963">
      <c r="B963" s="30"/>
    </row>
    <row r="964">
      <c r="B964" s="30"/>
    </row>
    <row r="965">
      <c r="B965" s="30"/>
    </row>
    <row r="966">
      <c r="B966" s="30"/>
    </row>
    <row r="967">
      <c r="B967" s="30"/>
    </row>
    <row r="968">
      <c r="B968" s="30"/>
    </row>
    <row r="969">
      <c r="B969" s="30"/>
    </row>
    <row r="970">
      <c r="B970" s="30"/>
    </row>
    <row r="971">
      <c r="B971" s="30"/>
    </row>
    <row r="972">
      <c r="B972" s="30"/>
    </row>
    <row r="973">
      <c r="B973" s="30"/>
    </row>
    <row r="974">
      <c r="B974" s="30"/>
    </row>
    <row r="975">
      <c r="B975" s="30"/>
    </row>
    <row r="976">
      <c r="B976" s="30"/>
    </row>
    <row r="977">
      <c r="B977" s="30"/>
    </row>
    <row r="978">
      <c r="B978" s="30"/>
    </row>
    <row r="979">
      <c r="B979" s="30"/>
    </row>
    <row r="980">
      <c r="B980" s="30"/>
    </row>
    <row r="981">
      <c r="B981" s="30"/>
    </row>
    <row r="982">
      <c r="B982" s="30"/>
    </row>
    <row r="983">
      <c r="B983" s="30"/>
    </row>
    <row r="984">
      <c r="B984" s="30"/>
    </row>
    <row r="985">
      <c r="B985" s="30"/>
    </row>
    <row r="986">
      <c r="B986" s="30"/>
    </row>
    <row r="987">
      <c r="B987" s="30"/>
    </row>
    <row r="988">
      <c r="B988" s="30"/>
    </row>
    <row r="989">
      <c r="B989" s="30"/>
    </row>
    <row r="990">
      <c r="B990" s="30"/>
    </row>
    <row r="991">
      <c r="B991" s="30"/>
    </row>
    <row r="992">
      <c r="B992" s="30"/>
    </row>
    <row r="993">
      <c r="B993" s="30"/>
    </row>
    <row r="994">
      <c r="B994" s="30"/>
    </row>
    <row r="995">
      <c r="B995" s="30"/>
    </row>
    <row r="996">
      <c r="B996" s="30"/>
    </row>
    <row r="997">
      <c r="B997" s="30"/>
    </row>
    <row r="998">
      <c r="B998" s="30"/>
    </row>
    <row r="999">
      <c r="B999" s="30"/>
    </row>
    <row r="1000">
      <c r="B1000" s="3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3.5"/>
    <col customWidth="1" min="2" max="2" width="9.75"/>
    <col customWidth="1" min="3" max="3" width="66.75"/>
    <col customWidth="1" min="4" max="4" width="10.5"/>
  </cols>
  <sheetData>
    <row r="1">
      <c r="A1" s="31" t="s">
        <v>0</v>
      </c>
      <c r="B1" s="31" t="s">
        <v>1</v>
      </c>
      <c r="C1" s="31" t="s">
        <v>2</v>
      </c>
      <c r="D1" s="32" t="s">
        <v>830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>
      <c r="A2" s="33" t="s">
        <v>13</v>
      </c>
      <c r="B2" s="34" t="s">
        <v>11</v>
      </c>
      <c r="C2" s="33" t="s">
        <v>12</v>
      </c>
      <c r="D2" s="35">
        <v>110.31</v>
      </c>
    </row>
    <row r="3">
      <c r="A3" s="36" t="s">
        <v>13</v>
      </c>
      <c r="B3" s="37" t="s">
        <v>14</v>
      </c>
      <c r="C3" s="36" t="s">
        <v>15</v>
      </c>
      <c r="D3" s="38">
        <v>36.14</v>
      </c>
    </row>
    <row r="4">
      <c r="A4" s="33" t="s">
        <v>13</v>
      </c>
      <c r="B4" s="34" t="s">
        <v>16</v>
      </c>
      <c r="C4" s="33" t="s">
        <v>17</v>
      </c>
      <c r="D4" s="35">
        <v>21.57</v>
      </c>
    </row>
    <row r="5">
      <c r="A5" s="36" t="s">
        <v>13</v>
      </c>
      <c r="B5" s="37" t="s">
        <v>18</v>
      </c>
      <c r="C5" s="36" t="s">
        <v>19</v>
      </c>
      <c r="D5" s="38">
        <v>87.55</v>
      </c>
    </row>
    <row r="6">
      <c r="A6" s="33" t="s">
        <v>13</v>
      </c>
      <c r="B6" s="34" t="s">
        <v>20</v>
      </c>
      <c r="C6" s="33" t="s">
        <v>21</v>
      </c>
      <c r="D6" s="35">
        <v>10.99</v>
      </c>
    </row>
    <row r="7">
      <c r="A7" s="36" t="s">
        <v>13</v>
      </c>
      <c r="B7" s="37" t="s">
        <v>22</v>
      </c>
      <c r="C7" s="36" t="s">
        <v>23</v>
      </c>
      <c r="D7" s="38">
        <v>11.0</v>
      </c>
    </row>
    <row r="8">
      <c r="A8" s="33" t="s">
        <v>13</v>
      </c>
      <c r="B8" s="34" t="s">
        <v>24</v>
      </c>
      <c r="C8" s="33" t="s">
        <v>25</v>
      </c>
      <c r="D8" s="35">
        <v>11.0</v>
      </c>
    </row>
    <row r="9">
      <c r="A9" s="36" t="s">
        <v>13</v>
      </c>
      <c r="B9" s="37" t="s">
        <v>26</v>
      </c>
      <c r="C9" s="36" t="s">
        <v>27</v>
      </c>
      <c r="D9" s="38">
        <v>11.0</v>
      </c>
    </row>
    <row r="10">
      <c r="A10" s="33" t="s">
        <v>13</v>
      </c>
      <c r="B10" s="34" t="s">
        <v>28</v>
      </c>
      <c r="C10" s="33" t="s">
        <v>29</v>
      </c>
      <c r="D10" s="35">
        <v>11.0</v>
      </c>
    </row>
    <row r="11">
      <c r="A11" s="36" t="s">
        <v>13</v>
      </c>
      <c r="B11" s="37" t="s">
        <v>30</v>
      </c>
      <c r="C11" s="36" t="s">
        <v>31</v>
      </c>
      <c r="D11" s="38">
        <v>30.91</v>
      </c>
    </row>
    <row r="12">
      <c r="A12" s="33" t="s">
        <v>13</v>
      </c>
      <c r="B12" s="34" t="s">
        <v>32</v>
      </c>
      <c r="C12" s="33" t="s">
        <v>33</v>
      </c>
      <c r="D12" s="35">
        <v>15.0</v>
      </c>
    </row>
    <row r="13">
      <c r="A13" s="36" t="s">
        <v>13</v>
      </c>
      <c r="B13" s="37" t="s">
        <v>34</v>
      </c>
      <c r="C13" s="36" t="s">
        <v>35</v>
      </c>
      <c r="D13" s="38">
        <v>100.77</v>
      </c>
    </row>
    <row r="14">
      <c r="A14" s="33" t="s">
        <v>13</v>
      </c>
      <c r="B14" s="34" t="s">
        <v>36</v>
      </c>
      <c r="C14" s="33" t="s">
        <v>37</v>
      </c>
      <c r="D14" s="35">
        <v>90.57</v>
      </c>
    </row>
    <row r="15">
      <c r="A15" s="36" t="s">
        <v>13</v>
      </c>
      <c r="B15" s="37" t="s">
        <v>38</v>
      </c>
      <c r="C15" s="36" t="s">
        <v>39</v>
      </c>
      <c r="D15" s="38">
        <v>91.6</v>
      </c>
    </row>
    <row r="16">
      <c r="A16" s="33" t="s">
        <v>13</v>
      </c>
      <c r="B16" s="34" t="s">
        <v>40</v>
      </c>
      <c r="C16" s="33" t="s">
        <v>41</v>
      </c>
      <c r="D16" s="35">
        <v>91.6</v>
      </c>
    </row>
    <row r="17">
      <c r="A17" s="33" t="s">
        <v>42</v>
      </c>
      <c r="B17" s="34" t="s">
        <v>43</v>
      </c>
      <c r="C17" s="33" t="s">
        <v>44</v>
      </c>
      <c r="D17" s="35">
        <v>40.51</v>
      </c>
    </row>
    <row r="18">
      <c r="A18" s="36" t="s">
        <v>42</v>
      </c>
      <c r="B18" s="37" t="s">
        <v>45</v>
      </c>
      <c r="C18" s="36" t="s">
        <v>46</v>
      </c>
      <c r="D18" s="38">
        <v>43.67</v>
      </c>
    </row>
    <row r="19">
      <c r="A19" s="33" t="s">
        <v>42</v>
      </c>
      <c r="B19" s="34" t="s">
        <v>47</v>
      </c>
      <c r="C19" s="33" t="s">
        <v>48</v>
      </c>
      <c r="D19" s="35">
        <v>40.48</v>
      </c>
    </row>
    <row r="20">
      <c r="A20" s="36" t="s">
        <v>42</v>
      </c>
      <c r="B20" s="37" t="s">
        <v>49</v>
      </c>
      <c r="C20" s="36" t="s">
        <v>50</v>
      </c>
      <c r="D20" s="38">
        <v>40.51</v>
      </c>
    </row>
    <row r="21">
      <c r="A21" s="33" t="s">
        <v>42</v>
      </c>
      <c r="B21" s="34" t="s">
        <v>51</v>
      </c>
      <c r="C21" s="33" t="s">
        <v>52</v>
      </c>
      <c r="D21" s="35">
        <v>58.52</v>
      </c>
    </row>
    <row r="22">
      <c r="A22" s="36" t="s">
        <v>42</v>
      </c>
      <c r="B22" s="37" t="s">
        <v>53</v>
      </c>
      <c r="C22" s="36" t="s">
        <v>54</v>
      </c>
      <c r="D22" s="38">
        <v>89.55</v>
      </c>
    </row>
    <row r="23">
      <c r="A23" s="33" t="s">
        <v>42</v>
      </c>
      <c r="B23" s="34" t="s">
        <v>55</v>
      </c>
      <c r="C23" s="33" t="s">
        <v>56</v>
      </c>
      <c r="D23" s="35">
        <v>386.8</v>
      </c>
    </row>
    <row r="24">
      <c r="A24" s="36" t="s">
        <v>42</v>
      </c>
      <c r="B24" s="37" t="s">
        <v>57</v>
      </c>
      <c r="C24" s="36" t="s">
        <v>58</v>
      </c>
      <c r="D24" s="38">
        <v>437.83</v>
      </c>
    </row>
    <row r="25">
      <c r="A25" s="33" t="s">
        <v>42</v>
      </c>
      <c r="B25" s="34" t="s">
        <v>59</v>
      </c>
      <c r="C25" s="33" t="s">
        <v>60</v>
      </c>
      <c r="D25" s="35">
        <v>559.51</v>
      </c>
    </row>
    <row r="26">
      <c r="A26" s="36" t="s">
        <v>42</v>
      </c>
      <c r="B26" s="37" t="s">
        <v>61</v>
      </c>
      <c r="C26" s="36" t="s">
        <v>62</v>
      </c>
      <c r="D26" s="38">
        <v>679.24</v>
      </c>
    </row>
    <row r="27">
      <c r="A27" s="36" t="s">
        <v>63</v>
      </c>
      <c r="B27" s="37" t="s">
        <v>64</v>
      </c>
      <c r="C27" s="36" t="s">
        <v>65</v>
      </c>
      <c r="D27" s="38">
        <v>26.0</v>
      </c>
    </row>
    <row r="28">
      <c r="A28" s="33" t="s">
        <v>63</v>
      </c>
      <c r="B28" s="34" t="s">
        <v>66</v>
      </c>
      <c r="C28" s="33" t="s">
        <v>67</v>
      </c>
      <c r="D28" s="35">
        <v>3.5</v>
      </c>
    </row>
    <row r="29">
      <c r="A29" s="36" t="s">
        <v>63</v>
      </c>
      <c r="B29" s="37" t="s">
        <v>68</v>
      </c>
      <c r="C29" s="36" t="s">
        <v>69</v>
      </c>
      <c r="D29" s="38">
        <v>42.0</v>
      </c>
    </row>
    <row r="30">
      <c r="A30" s="33" t="s">
        <v>63</v>
      </c>
      <c r="B30" s="34" t="s">
        <v>70</v>
      </c>
      <c r="C30" s="33" t="s">
        <v>71</v>
      </c>
      <c r="D30" s="35">
        <v>60.0</v>
      </c>
    </row>
    <row r="31">
      <c r="A31" s="36" t="s">
        <v>63</v>
      </c>
      <c r="B31" s="37" t="s">
        <v>72</v>
      </c>
      <c r="C31" s="36" t="s">
        <v>73</v>
      </c>
      <c r="D31" s="38">
        <v>100.0</v>
      </c>
    </row>
    <row r="32">
      <c r="A32" s="33" t="s">
        <v>63</v>
      </c>
      <c r="B32" s="34" t="s">
        <v>74</v>
      </c>
      <c r="C32" s="33" t="s">
        <v>75</v>
      </c>
      <c r="D32" s="35">
        <v>73.15</v>
      </c>
    </row>
    <row r="33">
      <c r="A33" s="36" t="s">
        <v>63</v>
      </c>
      <c r="B33" s="37" t="s">
        <v>76</v>
      </c>
      <c r="C33" s="36" t="s">
        <v>77</v>
      </c>
      <c r="D33" s="38">
        <v>373.73</v>
      </c>
    </row>
    <row r="34">
      <c r="A34" s="33" t="s">
        <v>63</v>
      </c>
      <c r="B34" s="34" t="s">
        <v>78</v>
      </c>
      <c r="C34" s="33" t="s">
        <v>79</v>
      </c>
      <c r="D34" s="35">
        <v>396.53</v>
      </c>
    </row>
    <row r="35">
      <c r="A35" s="36" t="s">
        <v>63</v>
      </c>
      <c r="B35" s="37" t="s">
        <v>80</v>
      </c>
      <c r="C35" s="36" t="s">
        <v>81</v>
      </c>
      <c r="D35" s="38">
        <v>653.02</v>
      </c>
    </row>
    <row r="36">
      <c r="A36" s="33" t="s">
        <v>63</v>
      </c>
      <c r="B36" s="34" t="s">
        <v>82</v>
      </c>
      <c r="C36" s="33" t="s">
        <v>83</v>
      </c>
      <c r="D36" s="35">
        <v>7.0</v>
      </c>
    </row>
    <row r="37">
      <c r="A37" s="36" t="s">
        <v>63</v>
      </c>
      <c r="B37" s="37" t="s">
        <v>84</v>
      </c>
      <c r="C37" s="36" t="s">
        <v>85</v>
      </c>
      <c r="D37" s="38">
        <v>14.75</v>
      </c>
    </row>
    <row r="38">
      <c r="A38" s="33" t="s">
        <v>63</v>
      </c>
      <c r="B38" s="34" t="s">
        <v>86</v>
      </c>
      <c r="C38" s="33" t="s">
        <v>87</v>
      </c>
      <c r="D38" s="35">
        <v>34.14</v>
      </c>
    </row>
    <row r="39">
      <c r="A39" s="36" t="s">
        <v>63</v>
      </c>
      <c r="B39" s="37" t="s">
        <v>88</v>
      </c>
      <c r="C39" s="36" t="s">
        <v>89</v>
      </c>
      <c r="D39" s="38">
        <v>60.0</v>
      </c>
    </row>
    <row r="40">
      <c r="A40" s="33" t="s">
        <v>63</v>
      </c>
      <c r="B40" s="34" t="s">
        <v>90</v>
      </c>
      <c r="C40" s="33" t="s">
        <v>91</v>
      </c>
      <c r="D40" s="35">
        <v>45.18</v>
      </c>
    </row>
    <row r="41">
      <c r="A41" s="36" t="s">
        <v>63</v>
      </c>
      <c r="B41" s="37" t="s">
        <v>92</v>
      </c>
      <c r="C41" s="36" t="s">
        <v>93</v>
      </c>
      <c r="D41" s="38">
        <v>69.32</v>
      </c>
    </row>
    <row r="42">
      <c r="A42" s="33" t="s">
        <v>63</v>
      </c>
      <c r="B42" s="34" t="s">
        <v>94</v>
      </c>
      <c r="C42" s="33" t="s">
        <v>95</v>
      </c>
      <c r="D42" s="35">
        <v>94.34</v>
      </c>
    </row>
    <row r="43">
      <c r="A43" s="36" t="s">
        <v>63</v>
      </c>
      <c r="B43" s="37" t="s">
        <v>96</v>
      </c>
      <c r="C43" s="36" t="s">
        <v>97</v>
      </c>
      <c r="D43" s="38">
        <v>119.35</v>
      </c>
    </row>
    <row r="44">
      <c r="A44" s="33" t="s">
        <v>63</v>
      </c>
      <c r="B44" s="34" t="s">
        <v>98</v>
      </c>
      <c r="C44" s="33" t="s">
        <v>99</v>
      </c>
      <c r="D44" s="35">
        <v>90.24</v>
      </c>
    </row>
    <row r="45">
      <c r="A45" s="36" t="s">
        <v>63</v>
      </c>
      <c r="B45" s="37" t="s">
        <v>100</v>
      </c>
      <c r="C45" s="36" t="s">
        <v>101</v>
      </c>
      <c r="D45" s="38">
        <v>126.01</v>
      </c>
    </row>
    <row r="46">
      <c r="A46" s="33" t="s">
        <v>63</v>
      </c>
      <c r="B46" s="34" t="s">
        <v>102</v>
      </c>
      <c r="C46" s="33" t="s">
        <v>103</v>
      </c>
      <c r="D46" s="35">
        <v>161.69</v>
      </c>
    </row>
    <row r="47">
      <c r="A47" s="36" t="s">
        <v>63</v>
      </c>
      <c r="B47" s="37" t="s">
        <v>104</v>
      </c>
      <c r="C47" s="36" t="s">
        <v>105</v>
      </c>
      <c r="D47" s="38">
        <v>42.18</v>
      </c>
    </row>
    <row r="48">
      <c r="A48" s="33" t="s">
        <v>63</v>
      </c>
      <c r="B48" s="34" t="s">
        <v>106</v>
      </c>
      <c r="C48" s="33" t="s">
        <v>107</v>
      </c>
      <c r="D48" s="35">
        <v>67.18</v>
      </c>
    </row>
    <row r="49">
      <c r="A49" s="36" t="s">
        <v>63</v>
      </c>
      <c r="B49" s="37" t="s">
        <v>108</v>
      </c>
      <c r="C49" s="36" t="s">
        <v>109</v>
      </c>
      <c r="D49" s="38">
        <v>482.89</v>
      </c>
    </row>
    <row r="50">
      <c r="A50" s="33" t="s">
        <v>110</v>
      </c>
      <c r="B50" s="34" t="s">
        <v>111</v>
      </c>
      <c r="C50" s="33" t="s">
        <v>112</v>
      </c>
      <c r="D50" s="35">
        <v>25.6</v>
      </c>
    </row>
    <row r="51">
      <c r="A51" s="36" t="s">
        <v>110</v>
      </c>
      <c r="B51" s="37" t="s">
        <v>113</v>
      </c>
      <c r="C51" s="36" t="s">
        <v>114</v>
      </c>
      <c r="D51" s="38">
        <v>32.95</v>
      </c>
    </row>
    <row r="52">
      <c r="A52" s="33" t="s">
        <v>110</v>
      </c>
      <c r="B52" s="34" t="s">
        <v>115</v>
      </c>
      <c r="C52" s="33" t="s">
        <v>116</v>
      </c>
      <c r="D52" s="35">
        <v>47.52</v>
      </c>
    </row>
    <row r="53">
      <c r="A53" s="36" t="s">
        <v>110</v>
      </c>
      <c r="B53" s="37" t="s">
        <v>117</v>
      </c>
      <c r="C53" s="36" t="s">
        <v>118</v>
      </c>
      <c r="D53" s="38">
        <v>53.85</v>
      </c>
    </row>
    <row r="54">
      <c r="A54" s="33" t="s">
        <v>110</v>
      </c>
      <c r="B54" s="34" t="s">
        <v>119</v>
      </c>
      <c r="C54" s="33" t="s">
        <v>120</v>
      </c>
      <c r="D54" s="35">
        <v>51.44</v>
      </c>
    </row>
    <row r="55">
      <c r="A55" s="36" t="s">
        <v>110</v>
      </c>
      <c r="B55" s="37" t="s">
        <v>121</v>
      </c>
      <c r="C55" s="36" t="s">
        <v>122</v>
      </c>
      <c r="D55" s="38">
        <v>59.4</v>
      </c>
    </row>
    <row r="56">
      <c r="A56" s="33" t="s">
        <v>110</v>
      </c>
      <c r="B56" s="34" t="s">
        <v>123</v>
      </c>
      <c r="C56" s="33" t="s">
        <v>124</v>
      </c>
      <c r="D56" s="35">
        <v>177.4</v>
      </c>
    </row>
    <row r="57">
      <c r="A57" s="36" t="s">
        <v>110</v>
      </c>
      <c r="B57" s="37" t="s">
        <v>125</v>
      </c>
      <c r="C57" s="36" t="s">
        <v>126</v>
      </c>
      <c r="D57" s="38">
        <v>22.6</v>
      </c>
    </row>
    <row r="58">
      <c r="A58" s="33" t="s">
        <v>110</v>
      </c>
      <c r="B58" s="34" t="s">
        <v>127</v>
      </c>
      <c r="C58" s="33" t="s">
        <v>128</v>
      </c>
      <c r="D58" s="35">
        <v>284.44</v>
      </c>
    </row>
    <row r="59">
      <c r="A59" s="36" t="s">
        <v>110</v>
      </c>
      <c r="B59" s="37" t="s">
        <v>129</v>
      </c>
      <c r="C59" s="36" t="s">
        <v>130</v>
      </c>
      <c r="D59" s="38">
        <v>39.33</v>
      </c>
    </row>
    <row r="60">
      <c r="A60" s="33" t="s">
        <v>110</v>
      </c>
      <c r="B60" s="34" t="s">
        <v>131</v>
      </c>
      <c r="C60" s="33" t="s">
        <v>132</v>
      </c>
      <c r="D60" s="35">
        <v>59.17</v>
      </c>
    </row>
    <row r="61">
      <c r="A61" s="36" t="s">
        <v>133</v>
      </c>
      <c r="B61" s="37" t="s">
        <v>134</v>
      </c>
      <c r="C61" s="36" t="s">
        <v>135</v>
      </c>
      <c r="D61" s="38">
        <v>85.79</v>
      </c>
    </row>
    <row r="62">
      <c r="A62" s="33" t="s">
        <v>133</v>
      </c>
      <c r="B62" s="34" t="s">
        <v>136</v>
      </c>
      <c r="C62" s="33" t="s">
        <v>137</v>
      </c>
      <c r="D62" s="35">
        <v>139.06</v>
      </c>
    </row>
    <row r="63">
      <c r="A63" s="36" t="s">
        <v>133</v>
      </c>
      <c r="B63" s="37" t="s">
        <v>138</v>
      </c>
      <c r="C63" s="36" t="s">
        <v>139</v>
      </c>
      <c r="D63" s="38">
        <v>144.63</v>
      </c>
    </row>
    <row r="64">
      <c r="A64" s="33" t="s">
        <v>133</v>
      </c>
      <c r="B64" s="34" t="s">
        <v>140</v>
      </c>
      <c r="C64" s="33" t="s">
        <v>141</v>
      </c>
      <c r="D64" s="35">
        <v>150.33</v>
      </c>
    </row>
    <row r="65">
      <c r="A65" s="36" t="s">
        <v>133</v>
      </c>
      <c r="B65" s="37" t="s">
        <v>142</v>
      </c>
      <c r="C65" s="36" t="s">
        <v>143</v>
      </c>
      <c r="D65" s="38">
        <v>490.06</v>
      </c>
    </row>
    <row r="66">
      <c r="A66" s="33" t="s">
        <v>133</v>
      </c>
      <c r="B66" s="34" t="s">
        <v>144</v>
      </c>
      <c r="C66" s="33" t="s">
        <v>145</v>
      </c>
      <c r="D66" s="35">
        <v>621.8</v>
      </c>
    </row>
    <row r="67">
      <c r="A67" s="36" t="s">
        <v>133</v>
      </c>
      <c r="B67" s="37" t="s">
        <v>146</v>
      </c>
      <c r="C67" s="36" t="s">
        <v>147</v>
      </c>
      <c r="D67" s="38">
        <v>651.98</v>
      </c>
    </row>
    <row r="68">
      <c r="A68" s="33" t="s">
        <v>133</v>
      </c>
      <c r="B68" s="34" t="s">
        <v>148</v>
      </c>
      <c r="C68" s="33" t="s">
        <v>149</v>
      </c>
      <c r="D68" s="35">
        <v>1271.58</v>
      </c>
    </row>
    <row r="69">
      <c r="A69" s="36" t="s">
        <v>133</v>
      </c>
      <c r="B69" s="37" t="s">
        <v>150</v>
      </c>
      <c r="C69" s="36" t="s">
        <v>151</v>
      </c>
      <c r="D69" s="38">
        <v>774.93</v>
      </c>
    </row>
    <row r="70">
      <c r="A70" s="33" t="s">
        <v>133</v>
      </c>
      <c r="B70" s="34" t="s">
        <v>152</v>
      </c>
      <c r="C70" s="33" t="s">
        <v>153</v>
      </c>
      <c r="D70" s="35">
        <v>813.31</v>
      </c>
    </row>
    <row r="71">
      <c r="A71" s="36" t="s">
        <v>133</v>
      </c>
      <c r="B71" s="37" t="s">
        <v>154</v>
      </c>
      <c r="C71" s="36" t="s">
        <v>155</v>
      </c>
      <c r="D71" s="38">
        <v>96.99</v>
      </c>
    </row>
    <row r="72">
      <c r="A72" s="33" t="s">
        <v>133</v>
      </c>
      <c r="B72" s="34" t="s">
        <v>156</v>
      </c>
      <c r="C72" s="33" t="s">
        <v>157</v>
      </c>
      <c r="D72" s="35">
        <v>130.52</v>
      </c>
    </row>
    <row r="73">
      <c r="A73" s="36" t="s">
        <v>133</v>
      </c>
      <c r="B73" s="37" t="s">
        <v>158</v>
      </c>
      <c r="C73" s="36" t="s">
        <v>159</v>
      </c>
      <c r="D73" s="38">
        <v>168.11</v>
      </c>
    </row>
    <row r="74">
      <c r="A74" s="33" t="s">
        <v>133</v>
      </c>
      <c r="B74" s="34" t="s">
        <v>160</v>
      </c>
      <c r="C74" s="33" t="s">
        <v>161</v>
      </c>
      <c r="D74" s="35">
        <v>218.0</v>
      </c>
    </row>
    <row r="75">
      <c r="A75" s="36" t="s">
        <v>133</v>
      </c>
      <c r="B75" s="37" t="s">
        <v>162</v>
      </c>
      <c r="C75" s="36" t="s">
        <v>163</v>
      </c>
      <c r="D75" s="38">
        <v>108.06</v>
      </c>
    </row>
    <row r="76">
      <c r="A76" s="33" t="s">
        <v>133</v>
      </c>
      <c r="B76" s="34" t="s">
        <v>164</v>
      </c>
      <c r="C76" s="33" t="s">
        <v>165</v>
      </c>
      <c r="D76" s="35">
        <v>187.73</v>
      </c>
    </row>
    <row r="77">
      <c r="A77" s="36" t="s">
        <v>133</v>
      </c>
      <c r="B77" s="37" t="s">
        <v>166</v>
      </c>
      <c r="C77" s="36" t="s">
        <v>167</v>
      </c>
      <c r="D77" s="38">
        <v>208.99</v>
      </c>
    </row>
    <row r="78">
      <c r="A78" s="33" t="s">
        <v>133</v>
      </c>
      <c r="B78" s="34" t="s">
        <v>168</v>
      </c>
      <c r="C78" s="33" t="s">
        <v>169</v>
      </c>
      <c r="D78" s="35">
        <v>103.7</v>
      </c>
    </row>
    <row r="79">
      <c r="A79" s="36" t="s">
        <v>170</v>
      </c>
      <c r="B79" s="37" t="s">
        <v>171</v>
      </c>
      <c r="C79" s="36" t="s">
        <v>172</v>
      </c>
      <c r="D79" s="38">
        <v>119.39</v>
      </c>
    </row>
    <row r="80">
      <c r="A80" s="33" t="s">
        <v>170</v>
      </c>
      <c r="B80" s="34" t="s">
        <v>173</v>
      </c>
      <c r="C80" s="33" t="s">
        <v>174</v>
      </c>
      <c r="D80" s="35">
        <v>119.39</v>
      </c>
    </row>
    <row r="81">
      <c r="A81" s="36" t="s">
        <v>170</v>
      </c>
      <c r="B81" s="37" t="s">
        <v>175</v>
      </c>
      <c r="C81" s="36" t="s">
        <v>176</v>
      </c>
      <c r="D81" s="38">
        <v>123.22</v>
      </c>
    </row>
    <row r="82">
      <c r="A82" s="33" t="s">
        <v>170</v>
      </c>
      <c r="B82" s="34" t="s">
        <v>177</v>
      </c>
      <c r="C82" s="33" t="s">
        <v>178</v>
      </c>
      <c r="D82" s="35">
        <v>141.05</v>
      </c>
    </row>
    <row r="83">
      <c r="A83" s="36" t="s">
        <v>170</v>
      </c>
      <c r="B83" s="37" t="s">
        <v>179</v>
      </c>
      <c r="C83" s="36" t="s">
        <v>180</v>
      </c>
      <c r="D83" s="38">
        <v>180.21</v>
      </c>
    </row>
    <row r="84">
      <c r="A84" s="33" t="s">
        <v>170</v>
      </c>
      <c r="B84" s="34" t="s">
        <v>181</v>
      </c>
      <c r="C84" s="33" t="s">
        <v>182</v>
      </c>
      <c r="D84" s="35">
        <v>213.8</v>
      </c>
    </row>
    <row r="85">
      <c r="A85" s="36" t="s">
        <v>170</v>
      </c>
      <c r="B85" s="37" t="s">
        <v>183</v>
      </c>
      <c r="C85" s="36" t="s">
        <v>184</v>
      </c>
      <c r="D85" s="38">
        <v>321.26</v>
      </c>
    </row>
    <row r="86">
      <c r="A86" s="33" t="s">
        <v>170</v>
      </c>
      <c r="B86" s="34" t="s">
        <v>185</v>
      </c>
      <c r="C86" s="33" t="s">
        <v>186</v>
      </c>
      <c r="D86" s="35">
        <v>128.45</v>
      </c>
    </row>
    <row r="87">
      <c r="A87" s="36" t="s">
        <v>170</v>
      </c>
      <c r="B87" s="37" t="s">
        <v>187</v>
      </c>
      <c r="C87" s="36" t="s">
        <v>188</v>
      </c>
      <c r="D87" s="38">
        <v>127.17</v>
      </c>
    </row>
    <row r="88">
      <c r="A88" s="33" t="s">
        <v>170</v>
      </c>
      <c r="B88" s="34" t="s">
        <v>189</v>
      </c>
      <c r="C88" s="33" t="s">
        <v>190</v>
      </c>
      <c r="D88" s="35">
        <v>138.96</v>
      </c>
    </row>
    <row r="89">
      <c r="A89" s="36" t="s">
        <v>191</v>
      </c>
      <c r="B89" s="37" t="s">
        <v>192</v>
      </c>
      <c r="C89" s="36" t="s">
        <v>193</v>
      </c>
      <c r="D89" s="38">
        <v>8.0</v>
      </c>
    </row>
    <row r="90">
      <c r="A90" s="33" t="s">
        <v>191</v>
      </c>
      <c r="B90" s="34" t="s">
        <v>194</v>
      </c>
      <c r="C90" s="33" t="s">
        <v>195</v>
      </c>
      <c r="D90" s="35">
        <v>14.5</v>
      </c>
    </row>
    <row r="91">
      <c r="A91" s="36" t="s">
        <v>191</v>
      </c>
      <c r="B91" s="37" t="s">
        <v>196</v>
      </c>
      <c r="C91" s="36" t="s">
        <v>197</v>
      </c>
      <c r="D91" s="38">
        <v>31.97</v>
      </c>
    </row>
    <row r="92">
      <c r="A92" s="33" t="s">
        <v>191</v>
      </c>
      <c r="B92" s="34" t="s">
        <v>198</v>
      </c>
      <c r="C92" s="33" t="s">
        <v>199</v>
      </c>
      <c r="D92" s="35">
        <v>65.17</v>
      </c>
    </row>
    <row r="93">
      <c r="A93" s="36" t="s">
        <v>191</v>
      </c>
      <c r="B93" s="37" t="s">
        <v>200</v>
      </c>
      <c r="C93" s="36" t="s">
        <v>201</v>
      </c>
      <c r="D93" s="38">
        <v>119.34</v>
      </c>
    </row>
    <row r="94">
      <c r="A94" s="33" t="s">
        <v>191</v>
      </c>
      <c r="B94" s="34" t="s">
        <v>202</v>
      </c>
      <c r="C94" s="33" t="s">
        <v>203</v>
      </c>
      <c r="D94" s="35">
        <v>108.28</v>
      </c>
    </row>
    <row r="95">
      <c r="A95" s="36" t="s">
        <v>191</v>
      </c>
      <c r="B95" s="37" t="s">
        <v>204</v>
      </c>
      <c r="C95" s="36" t="s">
        <v>205</v>
      </c>
      <c r="D95" s="38">
        <v>126.45</v>
      </c>
    </row>
    <row r="96">
      <c r="A96" s="33" t="s">
        <v>191</v>
      </c>
      <c r="B96" s="34" t="s">
        <v>206</v>
      </c>
      <c r="C96" s="33" t="s">
        <v>207</v>
      </c>
      <c r="D96" s="35">
        <v>112.15</v>
      </c>
    </row>
    <row r="97">
      <c r="A97" s="36" t="s">
        <v>191</v>
      </c>
      <c r="B97" s="37" t="s">
        <v>208</v>
      </c>
      <c r="C97" s="36" t="s">
        <v>209</v>
      </c>
      <c r="D97" s="38">
        <v>74.08</v>
      </c>
    </row>
    <row r="98">
      <c r="A98" s="33" t="s">
        <v>191</v>
      </c>
      <c r="B98" s="34" t="s">
        <v>210</v>
      </c>
      <c r="C98" s="33" t="s">
        <v>211</v>
      </c>
      <c r="D98" s="35">
        <v>77.4</v>
      </c>
    </row>
    <row r="99">
      <c r="A99" s="36" t="s">
        <v>191</v>
      </c>
      <c r="B99" s="37" t="s">
        <v>212</v>
      </c>
      <c r="C99" s="36" t="s">
        <v>213</v>
      </c>
      <c r="D99" s="38">
        <v>42.77</v>
      </c>
    </row>
    <row r="100">
      <c r="A100" s="36" t="s">
        <v>214</v>
      </c>
      <c r="B100" s="37" t="s">
        <v>215</v>
      </c>
      <c r="C100" s="36" t="s">
        <v>216</v>
      </c>
      <c r="D100" s="38">
        <v>366.75</v>
      </c>
    </row>
    <row r="101">
      <c r="A101" s="33" t="s">
        <v>214</v>
      </c>
      <c r="B101" s="34" t="s">
        <v>217</v>
      </c>
      <c r="C101" s="33" t="s">
        <v>218</v>
      </c>
      <c r="D101" s="35">
        <v>219.02</v>
      </c>
    </row>
    <row r="102">
      <c r="A102" s="36" t="s">
        <v>214</v>
      </c>
      <c r="B102" s="37" t="s">
        <v>219</v>
      </c>
      <c r="C102" s="36" t="s">
        <v>220</v>
      </c>
      <c r="D102" s="38">
        <v>302.35</v>
      </c>
    </row>
    <row r="103">
      <c r="A103" s="33" t="s">
        <v>221</v>
      </c>
      <c r="B103" s="34" t="s">
        <v>222</v>
      </c>
      <c r="C103" s="33" t="s">
        <v>223</v>
      </c>
      <c r="D103" s="35">
        <v>13.71</v>
      </c>
    </row>
    <row r="104">
      <c r="A104" s="36" t="s">
        <v>221</v>
      </c>
      <c r="B104" s="37" t="s">
        <v>224</v>
      </c>
      <c r="C104" s="36" t="s">
        <v>225</v>
      </c>
      <c r="D104" s="38">
        <v>19.72</v>
      </c>
    </row>
    <row r="105">
      <c r="A105" s="33" t="s">
        <v>221</v>
      </c>
      <c r="B105" s="34" t="s">
        <v>226</v>
      </c>
      <c r="C105" s="33" t="s">
        <v>227</v>
      </c>
      <c r="D105" s="35">
        <v>23.0</v>
      </c>
    </row>
    <row r="106">
      <c r="A106" s="36" t="s">
        <v>221</v>
      </c>
      <c r="B106" s="37" t="s">
        <v>228</v>
      </c>
      <c r="C106" s="36" t="s">
        <v>229</v>
      </c>
      <c r="D106" s="38">
        <v>13.0</v>
      </c>
    </row>
    <row r="107">
      <c r="A107" s="33" t="s">
        <v>221</v>
      </c>
      <c r="B107" s="34" t="s">
        <v>230</v>
      </c>
      <c r="C107" s="33" t="s">
        <v>231</v>
      </c>
      <c r="D107" s="35">
        <v>21.62</v>
      </c>
    </row>
    <row r="108">
      <c r="A108" s="36" t="s">
        <v>221</v>
      </c>
      <c r="B108" s="37" t="s">
        <v>232</v>
      </c>
      <c r="C108" s="36" t="s">
        <v>233</v>
      </c>
      <c r="D108" s="38">
        <v>50.73</v>
      </c>
    </row>
    <row r="109">
      <c r="A109" s="33" t="s">
        <v>221</v>
      </c>
      <c r="B109" s="34" t="s">
        <v>234</v>
      </c>
      <c r="C109" s="33" t="s">
        <v>235</v>
      </c>
      <c r="D109" s="35">
        <v>36.0</v>
      </c>
    </row>
    <row r="110">
      <c r="A110" s="36" t="s">
        <v>221</v>
      </c>
      <c r="B110" s="37" t="s">
        <v>236</v>
      </c>
      <c r="C110" s="36" t="s">
        <v>237</v>
      </c>
      <c r="D110" s="38">
        <v>40.0</v>
      </c>
    </row>
    <row r="111">
      <c r="A111" s="33" t="s">
        <v>221</v>
      </c>
      <c r="B111" s="34" t="s">
        <v>238</v>
      </c>
      <c r="C111" s="33" t="s">
        <v>239</v>
      </c>
      <c r="D111" s="35">
        <v>35.0</v>
      </c>
    </row>
    <row r="112">
      <c r="A112" s="36" t="s">
        <v>221</v>
      </c>
      <c r="B112" s="37" t="s">
        <v>240</v>
      </c>
      <c r="C112" s="36" t="s">
        <v>241</v>
      </c>
      <c r="D112" s="38">
        <v>13.2</v>
      </c>
    </row>
    <row r="113">
      <c r="A113" s="33" t="s">
        <v>221</v>
      </c>
      <c r="B113" s="34" t="s">
        <v>242</v>
      </c>
      <c r="C113" s="33" t="s">
        <v>243</v>
      </c>
      <c r="D113" s="35">
        <v>25.0</v>
      </c>
    </row>
    <row r="114">
      <c r="A114" s="36" t="s">
        <v>221</v>
      </c>
      <c r="B114" s="37" t="s">
        <v>244</v>
      </c>
      <c r="C114" s="36" t="s">
        <v>245</v>
      </c>
      <c r="D114" s="38">
        <v>23.0</v>
      </c>
    </row>
    <row r="115">
      <c r="A115" s="33" t="s">
        <v>221</v>
      </c>
      <c r="B115" s="34" t="s">
        <v>246</v>
      </c>
      <c r="C115" s="33" t="s">
        <v>247</v>
      </c>
      <c r="D115" s="35">
        <v>33.93</v>
      </c>
    </row>
    <row r="116">
      <c r="A116" s="36" t="s">
        <v>221</v>
      </c>
      <c r="B116" s="37" t="s">
        <v>248</v>
      </c>
      <c r="C116" s="36" t="s">
        <v>249</v>
      </c>
      <c r="D116" s="38">
        <v>42.0</v>
      </c>
    </row>
    <row r="117">
      <c r="A117" s="33" t="s">
        <v>221</v>
      </c>
      <c r="B117" s="34" t="s">
        <v>250</v>
      </c>
      <c r="C117" s="33" t="s">
        <v>251</v>
      </c>
      <c r="D117" s="35">
        <v>31.0</v>
      </c>
    </row>
    <row r="118">
      <c r="A118" s="36" t="s">
        <v>221</v>
      </c>
      <c r="B118" s="37" t="s">
        <v>252</v>
      </c>
      <c r="C118" s="36" t="s">
        <v>253</v>
      </c>
      <c r="D118" s="38">
        <v>7.0</v>
      </c>
    </row>
    <row r="119">
      <c r="A119" s="33" t="s">
        <v>221</v>
      </c>
      <c r="B119" s="34" t="s">
        <v>254</v>
      </c>
      <c r="C119" s="33" t="s">
        <v>255</v>
      </c>
      <c r="D119" s="35">
        <v>8.0</v>
      </c>
    </row>
    <row r="120">
      <c r="A120" s="36" t="s">
        <v>221</v>
      </c>
      <c r="B120" s="37" t="s">
        <v>256</v>
      </c>
      <c r="C120" s="36" t="s">
        <v>257</v>
      </c>
      <c r="D120" s="38">
        <v>6.0</v>
      </c>
    </row>
    <row r="121">
      <c r="A121" s="33" t="s">
        <v>221</v>
      </c>
      <c r="B121" s="34" t="s">
        <v>258</v>
      </c>
      <c r="C121" s="33" t="s">
        <v>259</v>
      </c>
      <c r="D121" s="35">
        <v>9.0</v>
      </c>
    </row>
    <row r="122">
      <c r="A122" s="36" t="s">
        <v>221</v>
      </c>
      <c r="B122" s="37" t="s">
        <v>260</v>
      </c>
      <c r="C122" s="36" t="s">
        <v>261</v>
      </c>
      <c r="D122" s="38">
        <v>3.0</v>
      </c>
    </row>
    <row r="123">
      <c r="A123" s="33" t="s">
        <v>221</v>
      </c>
      <c r="B123" s="34" t="s">
        <v>262</v>
      </c>
      <c r="C123" s="33" t="s">
        <v>263</v>
      </c>
      <c r="D123" s="35">
        <v>8.0</v>
      </c>
    </row>
    <row r="124">
      <c r="A124" s="36" t="s">
        <v>221</v>
      </c>
      <c r="B124" s="37" t="s">
        <v>264</v>
      </c>
      <c r="C124" s="36" t="s">
        <v>265</v>
      </c>
      <c r="D124" s="38">
        <v>4.0</v>
      </c>
    </row>
    <row r="125">
      <c r="A125" s="33" t="s">
        <v>221</v>
      </c>
      <c r="B125" s="34" t="s">
        <v>266</v>
      </c>
      <c r="C125" s="33" t="s">
        <v>267</v>
      </c>
      <c r="D125" s="35">
        <v>2.5</v>
      </c>
    </row>
    <row r="126">
      <c r="A126" s="36" t="s">
        <v>221</v>
      </c>
      <c r="B126" s="37" t="s">
        <v>268</v>
      </c>
      <c r="C126" s="36" t="s">
        <v>269</v>
      </c>
      <c r="D126" s="38">
        <v>5.0</v>
      </c>
    </row>
    <row r="127">
      <c r="A127" s="33" t="s">
        <v>221</v>
      </c>
      <c r="B127" s="34" t="s">
        <v>270</v>
      </c>
      <c r="C127" s="33" t="s">
        <v>271</v>
      </c>
      <c r="D127" s="35">
        <v>35.0</v>
      </c>
    </row>
    <row r="128">
      <c r="A128" s="36" t="s">
        <v>221</v>
      </c>
      <c r="B128" s="37" t="s">
        <v>272</v>
      </c>
      <c r="C128" s="36" t="s">
        <v>273</v>
      </c>
      <c r="D128" s="38">
        <v>90.76</v>
      </c>
    </row>
    <row r="129">
      <c r="A129" s="33" t="s">
        <v>221</v>
      </c>
      <c r="B129" s="34" t="s">
        <v>274</v>
      </c>
      <c r="C129" s="33" t="s">
        <v>275</v>
      </c>
      <c r="D129" s="35">
        <v>346.6</v>
      </c>
    </row>
    <row r="130">
      <c r="A130" s="36" t="s">
        <v>221</v>
      </c>
      <c r="B130" s="37" t="s">
        <v>276</v>
      </c>
      <c r="C130" s="36" t="s">
        <v>277</v>
      </c>
      <c r="D130" s="38">
        <v>353.07</v>
      </c>
    </row>
    <row r="131">
      <c r="A131" s="33" t="s">
        <v>221</v>
      </c>
      <c r="B131" s="34" t="s">
        <v>278</v>
      </c>
      <c r="C131" s="33" t="s">
        <v>279</v>
      </c>
      <c r="D131" s="35">
        <v>68.98</v>
      </c>
    </row>
    <row r="132">
      <c r="A132" s="36" t="s">
        <v>221</v>
      </c>
      <c r="B132" s="37" t="s">
        <v>280</v>
      </c>
      <c r="C132" s="36" t="s">
        <v>281</v>
      </c>
      <c r="D132" s="38">
        <v>3.92</v>
      </c>
    </row>
    <row r="133">
      <c r="A133" s="33" t="s">
        <v>221</v>
      </c>
      <c r="B133" s="34" t="s">
        <v>282</v>
      </c>
      <c r="C133" s="33" t="s">
        <v>283</v>
      </c>
      <c r="D133" s="35">
        <v>6.46</v>
      </c>
    </row>
    <row r="134">
      <c r="A134" s="36" t="s">
        <v>221</v>
      </c>
      <c r="B134" s="37" t="s">
        <v>284</v>
      </c>
      <c r="C134" s="36" t="s">
        <v>285</v>
      </c>
      <c r="D134" s="38">
        <v>50.87</v>
      </c>
    </row>
    <row r="135">
      <c r="A135" s="33" t="s">
        <v>221</v>
      </c>
      <c r="B135" s="34" t="s">
        <v>286</v>
      </c>
      <c r="C135" s="33" t="s">
        <v>287</v>
      </c>
      <c r="D135" s="35">
        <v>45.12</v>
      </c>
    </row>
    <row r="136">
      <c r="A136" s="36" t="s">
        <v>221</v>
      </c>
      <c r="B136" s="37" t="s">
        <v>288</v>
      </c>
      <c r="C136" s="36" t="s">
        <v>289</v>
      </c>
      <c r="D136" s="38">
        <v>5.57</v>
      </c>
    </row>
    <row r="137">
      <c r="A137" s="33" t="s">
        <v>221</v>
      </c>
      <c r="B137" s="34" t="s">
        <v>290</v>
      </c>
      <c r="C137" s="33" t="s">
        <v>291</v>
      </c>
      <c r="D137" s="35">
        <v>13.66</v>
      </c>
    </row>
    <row r="138">
      <c r="A138" s="36" t="s">
        <v>221</v>
      </c>
      <c r="B138" s="37" t="s">
        <v>292</v>
      </c>
      <c r="C138" s="36" t="s">
        <v>293</v>
      </c>
      <c r="D138" s="38">
        <v>9.0</v>
      </c>
    </row>
    <row r="139">
      <c r="A139" s="33" t="s">
        <v>221</v>
      </c>
      <c r="B139" s="34" t="s">
        <v>294</v>
      </c>
      <c r="C139" s="33" t="s">
        <v>295</v>
      </c>
      <c r="D139" s="35">
        <v>7.03</v>
      </c>
    </row>
    <row r="140">
      <c r="A140" s="36" t="s">
        <v>221</v>
      </c>
      <c r="B140" s="37" t="s">
        <v>296</v>
      </c>
      <c r="C140" s="36" t="s">
        <v>297</v>
      </c>
      <c r="D140" s="38">
        <v>7.3</v>
      </c>
    </row>
    <row r="141">
      <c r="A141" s="33" t="s">
        <v>221</v>
      </c>
      <c r="B141" s="34" t="s">
        <v>298</v>
      </c>
      <c r="C141" s="33" t="s">
        <v>299</v>
      </c>
      <c r="D141" s="35">
        <v>5.42</v>
      </c>
    </row>
    <row r="142">
      <c r="A142" s="36" t="s">
        <v>221</v>
      </c>
      <c r="B142" s="37" t="s">
        <v>300</v>
      </c>
      <c r="C142" s="36" t="s">
        <v>301</v>
      </c>
      <c r="D142" s="38">
        <v>165.0</v>
      </c>
    </row>
    <row r="143">
      <c r="A143" s="33" t="s">
        <v>221</v>
      </c>
      <c r="B143" s="34" t="s">
        <v>302</v>
      </c>
      <c r="C143" s="33" t="s">
        <v>303</v>
      </c>
      <c r="D143" s="35">
        <v>152.02</v>
      </c>
    </row>
    <row r="144">
      <c r="A144" s="36" t="s">
        <v>221</v>
      </c>
      <c r="B144" s="37" t="s">
        <v>304</v>
      </c>
      <c r="C144" s="36" t="s">
        <v>305</v>
      </c>
      <c r="D144" s="38">
        <v>202.84</v>
      </c>
    </row>
    <row r="145">
      <c r="A145" s="33" t="s">
        <v>221</v>
      </c>
      <c r="B145" s="34" t="s">
        <v>306</v>
      </c>
      <c r="C145" s="33" t="s">
        <v>307</v>
      </c>
      <c r="D145" s="35">
        <v>140.42</v>
      </c>
    </row>
    <row r="146">
      <c r="A146" s="36" t="s">
        <v>221</v>
      </c>
      <c r="B146" s="37" t="s">
        <v>308</v>
      </c>
      <c r="C146" s="36" t="s">
        <v>309</v>
      </c>
      <c r="D146" s="38">
        <v>623.24</v>
      </c>
    </row>
    <row r="147">
      <c r="A147" s="33" t="s">
        <v>221</v>
      </c>
      <c r="B147" s="34" t="s">
        <v>310</v>
      </c>
      <c r="C147" s="33" t="s">
        <v>311</v>
      </c>
      <c r="D147" s="35">
        <v>273.06</v>
      </c>
    </row>
    <row r="148">
      <c r="A148" s="36" t="s">
        <v>221</v>
      </c>
      <c r="B148" s="37" t="s">
        <v>312</v>
      </c>
      <c r="C148" s="36" t="s">
        <v>313</v>
      </c>
      <c r="D148" s="38">
        <v>14.91</v>
      </c>
    </row>
    <row r="149">
      <c r="A149" s="33" t="s">
        <v>221</v>
      </c>
      <c r="B149" s="34" t="s">
        <v>314</v>
      </c>
      <c r="C149" s="33" t="s">
        <v>315</v>
      </c>
      <c r="D149" s="35">
        <v>24.98</v>
      </c>
    </row>
    <row r="150">
      <c r="A150" s="36" t="s">
        <v>221</v>
      </c>
      <c r="B150" s="37" t="s">
        <v>316</v>
      </c>
      <c r="C150" s="36" t="s">
        <v>317</v>
      </c>
      <c r="D150" s="38">
        <v>738.22</v>
      </c>
    </row>
    <row r="151">
      <c r="A151" s="33" t="s">
        <v>221</v>
      </c>
      <c r="B151" s="34" t="s">
        <v>318</v>
      </c>
      <c r="C151" s="33" t="s">
        <v>319</v>
      </c>
      <c r="D151" s="35">
        <v>1082.38</v>
      </c>
    </row>
    <row r="152">
      <c r="A152" s="36" t="s">
        <v>221</v>
      </c>
      <c r="B152" s="37" t="s">
        <v>320</v>
      </c>
      <c r="C152" s="36" t="s">
        <v>321</v>
      </c>
      <c r="D152" s="38">
        <v>50.09</v>
      </c>
    </row>
    <row r="153">
      <c r="A153" s="33" t="s">
        <v>221</v>
      </c>
      <c r="B153" s="34" t="s">
        <v>322</v>
      </c>
      <c r="C153" s="33" t="s">
        <v>323</v>
      </c>
      <c r="D153" s="35">
        <v>92.85</v>
      </c>
    </row>
    <row r="154">
      <c r="A154" s="36" t="s">
        <v>221</v>
      </c>
      <c r="B154" s="37" t="s">
        <v>324</v>
      </c>
      <c r="C154" s="36" t="s">
        <v>325</v>
      </c>
      <c r="D154" s="38">
        <v>126.75</v>
      </c>
    </row>
    <row r="155">
      <c r="A155" s="33" t="s">
        <v>221</v>
      </c>
      <c r="B155" s="34" t="s">
        <v>326</v>
      </c>
      <c r="C155" s="33" t="s">
        <v>327</v>
      </c>
      <c r="D155" s="35">
        <v>27.7</v>
      </c>
    </row>
    <row r="156">
      <c r="A156" s="36" t="s">
        <v>221</v>
      </c>
      <c r="B156" s="37" t="s">
        <v>328</v>
      </c>
      <c r="C156" s="36" t="s">
        <v>329</v>
      </c>
      <c r="D156" s="38">
        <v>56.16</v>
      </c>
    </row>
    <row r="157">
      <c r="A157" s="33" t="s">
        <v>221</v>
      </c>
      <c r="B157" s="34" t="s">
        <v>330</v>
      </c>
      <c r="C157" s="33" t="s">
        <v>331</v>
      </c>
      <c r="D157" s="35">
        <v>15.84</v>
      </c>
    </row>
    <row r="158">
      <c r="A158" s="36" t="s">
        <v>221</v>
      </c>
      <c r="B158" s="37" t="s">
        <v>332</v>
      </c>
      <c r="C158" s="36" t="s">
        <v>333</v>
      </c>
      <c r="D158" s="38">
        <v>120.15</v>
      </c>
    </row>
    <row r="159">
      <c r="A159" s="33" t="s">
        <v>221</v>
      </c>
      <c r="B159" s="34" t="s">
        <v>334</v>
      </c>
      <c r="C159" s="33" t="s">
        <v>335</v>
      </c>
      <c r="D159" s="35">
        <v>196.28</v>
      </c>
    </row>
    <row r="160">
      <c r="A160" s="36" t="s">
        <v>221</v>
      </c>
      <c r="B160" s="37" t="s">
        <v>336</v>
      </c>
      <c r="C160" s="36" t="s">
        <v>337</v>
      </c>
      <c r="D160" s="38">
        <v>218.59</v>
      </c>
    </row>
    <row r="161">
      <c r="A161" s="33" t="s">
        <v>221</v>
      </c>
      <c r="B161" s="34" t="s">
        <v>338</v>
      </c>
      <c r="C161" s="33" t="s">
        <v>339</v>
      </c>
      <c r="D161" s="35">
        <v>166.17</v>
      </c>
    </row>
    <row r="162">
      <c r="A162" s="36" t="s">
        <v>221</v>
      </c>
      <c r="B162" s="37" t="s">
        <v>340</v>
      </c>
      <c r="C162" s="36" t="s">
        <v>341</v>
      </c>
      <c r="D162" s="38">
        <v>296.51</v>
      </c>
    </row>
    <row r="163">
      <c r="A163" s="33" t="s">
        <v>221</v>
      </c>
      <c r="B163" s="34" t="s">
        <v>342</v>
      </c>
      <c r="C163" s="33" t="s">
        <v>343</v>
      </c>
      <c r="D163" s="35">
        <v>28.1</v>
      </c>
    </row>
    <row r="164">
      <c r="A164" s="36" t="s">
        <v>221</v>
      </c>
      <c r="B164" s="37" t="s">
        <v>344</v>
      </c>
      <c r="C164" s="36" t="s">
        <v>345</v>
      </c>
      <c r="D164" s="38">
        <v>39.76</v>
      </c>
    </row>
    <row r="165">
      <c r="A165" s="33" t="s">
        <v>221</v>
      </c>
      <c r="B165" s="34" t="s">
        <v>346</v>
      </c>
      <c r="C165" s="33" t="s">
        <v>347</v>
      </c>
      <c r="D165" s="35">
        <v>49.2</v>
      </c>
    </row>
    <row r="166">
      <c r="A166" s="36" t="s">
        <v>221</v>
      </c>
      <c r="B166" s="37" t="s">
        <v>348</v>
      </c>
      <c r="C166" s="36" t="s">
        <v>349</v>
      </c>
      <c r="D166" s="38">
        <v>9.67</v>
      </c>
    </row>
    <row r="167">
      <c r="A167" s="33" t="s">
        <v>221</v>
      </c>
      <c r="B167" s="34" t="s">
        <v>350</v>
      </c>
      <c r="C167" s="33" t="s">
        <v>351</v>
      </c>
      <c r="D167" s="35">
        <v>17.27</v>
      </c>
    </row>
    <row r="168">
      <c r="A168" s="36" t="s">
        <v>221</v>
      </c>
      <c r="B168" s="37" t="s">
        <v>352</v>
      </c>
      <c r="C168" s="36" t="s">
        <v>353</v>
      </c>
      <c r="D168" s="38">
        <v>29.38</v>
      </c>
    </row>
    <row r="169">
      <c r="A169" s="33" t="s">
        <v>221</v>
      </c>
      <c r="B169" s="34" t="s">
        <v>354</v>
      </c>
      <c r="C169" s="33" t="s">
        <v>355</v>
      </c>
      <c r="D169" s="35">
        <v>13.08</v>
      </c>
    </row>
    <row r="170">
      <c r="A170" s="36" t="s">
        <v>221</v>
      </c>
      <c r="B170" s="37" t="s">
        <v>356</v>
      </c>
      <c r="C170" s="36" t="s">
        <v>357</v>
      </c>
      <c r="D170" s="38">
        <v>31.78</v>
      </c>
    </row>
    <row r="171">
      <c r="A171" s="33" t="s">
        <v>221</v>
      </c>
      <c r="B171" s="34" t="s">
        <v>358</v>
      </c>
      <c r="C171" s="33" t="s">
        <v>359</v>
      </c>
      <c r="D171" s="35">
        <v>554.26</v>
      </c>
    </row>
    <row r="172">
      <c r="A172" s="36" t="s">
        <v>221</v>
      </c>
      <c r="B172" s="37" t="s">
        <v>360</v>
      </c>
      <c r="C172" s="36" t="s">
        <v>361</v>
      </c>
      <c r="D172" s="38">
        <v>16.81</v>
      </c>
    </row>
    <row r="173">
      <c r="A173" s="33" t="s">
        <v>221</v>
      </c>
      <c r="B173" s="34" t="s">
        <v>362</v>
      </c>
      <c r="C173" s="33" t="s">
        <v>363</v>
      </c>
      <c r="D173" s="35">
        <v>6.76</v>
      </c>
    </row>
    <row r="174">
      <c r="A174" s="36" t="s">
        <v>221</v>
      </c>
      <c r="B174" s="37" t="s">
        <v>364</v>
      </c>
      <c r="C174" s="36" t="s">
        <v>365</v>
      </c>
      <c r="D174" s="38">
        <v>23.37</v>
      </c>
    </row>
    <row r="175">
      <c r="A175" s="33" t="s">
        <v>221</v>
      </c>
      <c r="B175" s="34" t="s">
        <v>366</v>
      </c>
      <c r="C175" s="33" t="s">
        <v>367</v>
      </c>
      <c r="D175" s="35">
        <v>90.4</v>
      </c>
    </row>
    <row r="176">
      <c r="A176" s="36" t="s">
        <v>221</v>
      </c>
      <c r="B176" s="37" t="s">
        <v>368</v>
      </c>
      <c r="C176" s="36" t="s">
        <v>369</v>
      </c>
      <c r="D176" s="38">
        <v>123.81</v>
      </c>
    </row>
    <row r="177">
      <c r="A177" s="33" t="s">
        <v>221</v>
      </c>
      <c r="B177" s="34" t="s">
        <v>370</v>
      </c>
      <c r="C177" s="33" t="s">
        <v>371</v>
      </c>
      <c r="D177" s="35">
        <v>245.73</v>
      </c>
    </row>
    <row r="178">
      <c r="A178" s="36" t="s">
        <v>221</v>
      </c>
      <c r="B178" s="37" t="s">
        <v>372</v>
      </c>
      <c r="C178" s="36" t="s">
        <v>373</v>
      </c>
      <c r="D178" s="38">
        <v>24.35</v>
      </c>
    </row>
    <row r="179">
      <c r="A179" s="33" t="s">
        <v>221</v>
      </c>
      <c r="B179" s="34" t="s">
        <v>374</v>
      </c>
      <c r="C179" s="33" t="s">
        <v>375</v>
      </c>
      <c r="D179" s="35">
        <v>25.99</v>
      </c>
    </row>
    <row r="180">
      <c r="A180" s="36" t="s">
        <v>221</v>
      </c>
      <c r="B180" s="37" t="s">
        <v>376</v>
      </c>
      <c r="C180" s="36" t="s">
        <v>377</v>
      </c>
      <c r="D180" s="38">
        <v>317.61</v>
      </c>
    </row>
    <row r="181">
      <c r="A181" s="33" t="s">
        <v>221</v>
      </c>
      <c r="B181" s="34" t="s">
        <v>378</v>
      </c>
      <c r="C181" s="33" t="s">
        <v>379</v>
      </c>
      <c r="D181" s="35">
        <v>23.84</v>
      </c>
    </row>
    <row r="182">
      <c r="A182" s="36" t="s">
        <v>221</v>
      </c>
      <c r="B182" s="37" t="s">
        <v>380</v>
      </c>
      <c r="C182" s="36" t="s">
        <v>381</v>
      </c>
      <c r="D182" s="38">
        <v>312.94</v>
      </c>
    </row>
    <row r="183">
      <c r="A183" s="33" t="s">
        <v>221</v>
      </c>
      <c r="B183" s="34" t="s">
        <v>382</v>
      </c>
      <c r="C183" s="33" t="s">
        <v>383</v>
      </c>
      <c r="D183" s="35">
        <v>191.68</v>
      </c>
    </row>
    <row r="184">
      <c r="A184" s="36" t="s">
        <v>221</v>
      </c>
      <c r="B184" s="37" t="s">
        <v>384</v>
      </c>
      <c r="C184" s="36" t="s">
        <v>385</v>
      </c>
      <c r="D184" s="38">
        <v>104.81</v>
      </c>
    </row>
    <row r="185">
      <c r="A185" s="33" t="s">
        <v>221</v>
      </c>
      <c r="B185" s="34" t="s">
        <v>386</v>
      </c>
      <c r="C185" s="33" t="s">
        <v>387</v>
      </c>
      <c r="D185" s="35">
        <v>149.62</v>
      </c>
    </row>
    <row r="186">
      <c r="A186" s="36" t="s">
        <v>221</v>
      </c>
      <c r="B186" s="37" t="s">
        <v>388</v>
      </c>
      <c r="C186" s="36" t="s">
        <v>389</v>
      </c>
      <c r="D186" s="38">
        <v>185.75</v>
      </c>
    </row>
    <row r="187">
      <c r="A187" s="33" t="s">
        <v>221</v>
      </c>
      <c r="B187" s="34" t="s">
        <v>390</v>
      </c>
      <c r="C187" s="33" t="s">
        <v>391</v>
      </c>
      <c r="D187" s="35">
        <v>84.79</v>
      </c>
    </row>
    <row r="188">
      <c r="A188" s="36" t="s">
        <v>221</v>
      </c>
      <c r="B188" s="37" t="s">
        <v>392</v>
      </c>
      <c r="C188" s="36" t="s">
        <v>393</v>
      </c>
      <c r="D188" s="38">
        <v>24.91</v>
      </c>
    </row>
    <row r="189">
      <c r="A189" s="33" t="s">
        <v>221</v>
      </c>
      <c r="B189" s="34" t="s">
        <v>394</v>
      </c>
      <c r="C189" s="33" t="s">
        <v>395</v>
      </c>
      <c r="D189" s="35">
        <v>127.33</v>
      </c>
    </row>
    <row r="190">
      <c r="A190" s="36" t="s">
        <v>221</v>
      </c>
      <c r="B190" s="37" t="s">
        <v>396</v>
      </c>
      <c r="C190" s="36" t="s">
        <v>397</v>
      </c>
      <c r="D190" s="38">
        <v>7.0</v>
      </c>
    </row>
    <row r="191">
      <c r="A191" s="33" t="s">
        <v>221</v>
      </c>
      <c r="B191" s="34" t="s">
        <v>398</v>
      </c>
      <c r="C191" s="33" t="s">
        <v>399</v>
      </c>
      <c r="D191" s="35">
        <v>38.97</v>
      </c>
    </row>
    <row r="192">
      <c r="A192" s="36" t="s">
        <v>221</v>
      </c>
      <c r="B192" s="37" t="s">
        <v>400</v>
      </c>
      <c r="C192" s="36" t="s">
        <v>401</v>
      </c>
      <c r="D192" s="38">
        <v>27.82</v>
      </c>
    </row>
    <row r="193">
      <c r="A193" s="33" t="s">
        <v>221</v>
      </c>
      <c r="B193" s="34" t="s">
        <v>402</v>
      </c>
      <c r="C193" s="33" t="s">
        <v>403</v>
      </c>
      <c r="D193" s="35">
        <v>38.34</v>
      </c>
    </row>
    <row r="194">
      <c r="A194" s="36" t="s">
        <v>221</v>
      </c>
      <c r="B194" s="37" t="s">
        <v>404</v>
      </c>
      <c r="C194" s="36" t="s">
        <v>405</v>
      </c>
      <c r="D194" s="38">
        <v>55.62</v>
      </c>
    </row>
    <row r="195">
      <c r="A195" s="33" t="s">
        <v>221</v>
      </c>
      <c r="B195" s="34" t="s">
        <v>406</v>
      </c>
      <c r="C195" s="33" t="s">
        <v>407</v>
      </c>
      <c r="D195" s="35">
        <v>314.23</v>
      </c>
    </row>
    <row r="196">
      <c r="A196" s="36" t="s">
        <v>221</v>
      </c>
      <c r="B196" s="37" t="s">
        <v>408</v>
      </c>
      <c r="C196" s="36" t="s">
        <v>409</v>
      </c>
      <c r="D196" s="38">
        <v>363.48</v>
      </c>
    </row>
    <row r="197">
      <c r="A197" s="33" t="s">
        <v>221</v>
      </c>
      <c r="B197" s="34" t="s">
        <v>410</v>
      </c>
      <c r="C197" s="33" t="s">
        <v>411</v>
      </c>
      <c r="D197" s="35">
        <v>220.77</v>
      </c>
    </row>
    <row r="198">
      <c r="A198" s="36" t="s">
        <v>221</v>
      </c>
      <c r="B198" s="37" t="s">
        <v>412</v>
      </c>
      <c r="C198" s="36" t="s">
        <v>413</v>
      </c>
      <c r="D198" s="38">
        <v>22.31</v>
      </c>
    </row>
    <row r="199">
      <c r="A199" s="33" t="s">
        <v>221</v>
      </c>
      <c r="B199" s="34" t="s">
        <v>414</v>
      </c>
      <c r="C199" s="33" t="s">
        <v>415</v>
      </c>
      <c r="D199" s="35">
        <v>29.13</v>
      </c>
    </row>
    <row r="200">
      <c r="A200" s="36" t="s">
        <v>221</v>
      </c>
      <c r="B200" s="37" t="s">
        <v>416</v>
      </c>
      <c r="C200" s="36" t="s">
        <v>417</v>
      </c>
      <c r="D200" s="38">
        <v>58.22</v>
      </c>
    </row>
    <row r="201">
      <c r="A201" s="33" t="s">
        <v>221</v>
      </c>
      <c r="B201" s="34" t="s">
        <v>418</v>
      </c>
      <c r="C201" s="33" t="s">
        <v>419</v>
      </c>
      <c r="D201" s="35">
        <v>199.5</v>
      </c>
    </row>
    <row r="202">
      <c r="A202" s="36" t="s">
        <v>221</v>
      </c>
      <c r="B202" s="37" t="s">
        <v>420</v>
      </c>
      <c r="C202" s="36" t="s">
        <v>421</v>
      </c>
      <c r="D202" s="38">
        <v>73.06</v>
      </c>
    </row>
    <row r="203">
      <c r="A203" s="33" t="s">
        <v>221</v>
      </c>
      <c r="B203" s="34" t="s">
        <v>422</v>
      </c>
      <c r="C203" s="33" t="s">
        <v>423</v>
      </c>
      <c r="D203" s="35">
        <v>26.59</v>
      </c>
    </row>
    <row r="204">
      <c r="A204" s="36" t="s">
        <v>221</v>
      </c>
      <c r="B204" s="37" t="s">
        <v>424</v>
      </c>
      <c r="C204" s="36" t="s">
        <v>425</v>
      </c>
      <c r="D204" s="38">
        <v>179.45</v>
      </c>
    </row>
    <row r="205">
      <c r="A205" s="33" t="s">
        <v>221</v>
      </c>
      <c r="B205" s="34" t="s">
        <v>426</v>
      </c>
      <c r="C205" s="33" t="s">
        <v>427</v>
      </c>
      <c r="D205" s="35">
        <v>200.38</v>
      </c>
    </row>
    <row r="206">
      <c r="A206" s="36" t="s">
        <v>221</v>
      </c>
      <c r="B206" s="37" t="s">
        <v>428</v>
      </c>
      <c r="C206" s="36" t="s">
        <v>429</v>
      </c>
      <c r="D206" s="38">
        <v>71.13</v>
      </c>
    </row>
    <row r="207">
      <c r="A207" s="33" t="s">
        <v>221</v>
      </c>
      <c r="B207" s="34" t="s">
        <v>430</v>
      </c>
      <c r="C207" s="33" t="s">
        <v>431</v>
      </c>
      <c r="D207" s="35">
        <v>64.93</v>
      </c>
    </row>
    <row r="208">
      <c r="A208" s="36" t="s">
        <v>221</v>
      </c>
      <c r="B208" s="37" t="s">
        <v>432</v>
      </c>
      <c r="C208" s="36" t="s">
        <v>433</v>
      </c>
      <c r="D208" s="38">
        <v>111.42</v>
      </c>
    </row>
    <row r="209">
      <c r="A209" s="33" t="s">
        <v>221</v>
      </c>
      <c r="B209" s="34" t="s">
        <v>434</v>
      </c>
      <c r="C209" s="33" t="s">
        <v>435</v>
      </c>
      <c r="D209" s="35">
        <v>136.59</v>
      </c>
    </row>
    <row r="210">
      <c r="A210" s="36" t="s">
        <v>221</v>
      </c>
      <c r="B210" s="37" t="s">
        <v>436</v>
      </c>
      <c r="C210" s="36" t="s">
        <v>437</v>
      </c>
      <c r="D210" s="38">
        <v>14.59</v>
      </c>
    </row>
    <row r="211">
      <c r="A211" s="36" t="s">
        <v>438</v>
      </c>
      <c r="B211" s="37" t="s">
        <v>439</v>
      </c>
      <c r="C211" s="36" t="s">
        <v>440</v>
      </c>
      <c r="D211" s="38">
        <v>100.0</v>
      </c>
    </row>
    <row r="212">
      <c r="A212" s="33" t="s">
        <v>438</v>
      </c>
      <c r="B212" s="34" t="s">
        <v>441</v>
      </c>
      <c r="C212" s="33" t="s">
        <v>442</v>
      </c>
      <c r="D212" s="35">
        <v>125.35</v>
      </c>
    </row>
    <row r="213">
      <c r="A213" s="36" t="s">
        <v>438</v>
      </c>
      <c r="B213" s="37" t="s">
        <v>443</v>
      </c>
      <c r="C213" s="36" t="s">
        <v>444</v>
      </c>
      <c r="D213" s="38">
        <v>206.8</v>
      </c>
    </row>
    <row r="214">
      <c r="A214" s="33" t="s">
        <v>438</v>
      </c>
      <c r="B214" s="34" t="s">
        <v>445</v>
      </c>
      <c r="C214" s="33" t="s">
        <v>446</v>
      </c>
      <c r="D214" s="35">
        <v>238.7</v>
      </c>
    </row>
    <row r="215">
      <c r="A215" s="36" t="s">
        <v>438</v>
      </c>
      <c r="B215" s="37" t="s">
        <v>447</v>
      </c>
      <c r="C215" s="36" t="s">
        <v>448</v>
      </c>
      <c r="D215" s="38">
        <v>260.75</v>
      </c>
    </row>
    <row r="216">
      <c r="A216" s="33" t="s">
        <v>438</v>
      </c>
      <c r="B216" s="34" t="s">
        <v>449</v>
      </c>
      <c r="C216" s="33" t="s">
        <v>450</v>
      </c>
      <c r="D216" s="35">
        <v>412.34</v>
      </c>
    </row>
    <row r="217">
      <c r="A217" s="36" t="s">
        <v>438</v>
      </c>
      <c r="B217" s="37" t="s">
        <v>451</v>
      </c>
      <c r="C217" s="36" t="s">
        <v>452</v>
      </c>
      <c r="D217" s="38">
        <v>26.55</v>
      </c>
    </row>
    <row r="218">
      <c r="A218" s="33" t="s">
        <v>438</v>
      </c>
      <c r="B218" s="34" t="s">
        <v>453</v>
      </c>
      <c r="C218" s="33" t="s">
        <v>454</v>
      </c>
      <c r="D218" s="35">
        <v>182.21</v>
      </c>
    </row>
    <row r="219">
      <c r="A219" s="36" t="s">
        <v>438</v>
      </c>
      <c r="B219" s="37" t="s">
        <v>455</v>
      </c>
      <c r="C219" s="36" t="s">
        <v>456</v>
      </c>
      <c r="D219" s="38">
        <v>163.57</v>
      </c>
    </row>
    <row r="220">
      <c r="A220" s="36" t="s">
        <v>457</v>
      </c>
      <c r="B220" s="37" t="s">
        <v>458</v>
      </c>
      <c r="C220" s="36" t="s">
        <v>459</v>
      </c>
      <c r="D220" s="38">
        <v>187.1</v>
      </c>
    </row>
    <row r="221">
      <c r="A221" s="33" t="s">
        <v>457</v>
      </c>
      <c r="B221" s="34" t="s">
        <v>460</v>
      </c>
      <c r="C221" s="33" t="s">
        <v>461</v>
      </c>
      <c r="D221" s="35">
        <v>55.05</v>
      </c>
    </row>
    <row r="222">
      <c r="A222" s="36" t="s">
        <v>457</v>
      </c>
      <c r="B222" s="37" t="s">
        <v>462</v>
      </c>
      <c r="C222" s="36" t="s">
        <v>463</v>
      </c>
      <c r="D222" s="38">
        <v>88.07</v>
      </c>
    </row>
    <row r="223">
      <c r="A223" s="33" t="s">
        <v>457</v>
      </c>
      <c r="B223" s="34" t="s">
        <v>464</v>
      </c>
      <c r="C223" s="33" t="s">
        <v>465</v>
      </c>
      <c r="D223" s="35">
        <v>116.52</v>
      </c>
    </row>
    <row r="224">
      <c r="A224" s="36" t="s">
        <v>457</v>
      </c>
      <c r="B224" s="37" t="s">
        <v>466</v>
      </c>
      <c r="C224" s="36" t="s">
        <v>467</v>
      </c>
      <c r="D224" s="38">
        <v>634.59</v>
      </c>
    </row>
    <row r="225">
      <c r="A225" s="33" t="s">
        <v>457</v>
      </c>
      <c r="B225" s="34" t="s">
        <v>468</v>
      </c>
      <c r="C225" s="33" t="s">
        <v>469</v>
      </c>
      <c r="D225" s="35">
        <v>503.24</v>
      </c>
    </row>
    <row r="226">
      <c r="A226" s="36" t="s">
        <v>457</v>
      </c>
      <c r="B226" s="37" t="s">
        <v>470</v>
      </c>
      <c r="C226" s="36" t="s">
        <v>471</v>
      </c>
      <c r="D226" s="38">
        <v>611.45</v>
      </c>
    </row>
    <row r="227">
      <c r="A227" s="33" t="s">
        <v>457</v>
      </c>
      <c r="B227" s="34" t="s">
        <v>472</v>
      </c>
      <c r="C227" s="33" t="s">
        <v>473</v>
      </c>
      <c r="D227" s="35">
        <v>104.36</v>
      </c>
    </row>
    <row r="228">
      <c r="A228" s="33" t="s">
        <v>474</v>
      </c>
      <c r="B228" s="34" t="s">
        <v>475</v>
      </c>
      <c r="C228" s="33" t="s">
        <v>476</v>
      </c>
      <c r="D228" s="35">
        <v>25.0</v>
      </c>
    </row>
    <row r="229">
      <c r="A229" s="36" t="s">
        <v>474</v>
      </c>
      <c r="B229" s="37" t="s">
        <v>477</v>
      </c>
      <c r="C229" s="36" t="s">
        <v>478</v>
      </c>
      <c r="D229" s="38">
        <v>46.52</v>
      </c>
    </row>
    <row r="230">
      <c r="A230" s="33" t="s">
        <v>474</v>
      </c>
      <c r="B230" s="34" t="s">
        <v>479</v>
      </c>
      <c r="C230" s="33" t="s">
        <v>480</v>
      </c>
      <c r="D230" s="35">
        <v>70.0</v>
      </c>
    </row>
    <row r="231">
      <c r="A231" s="36" t="s">
        <v>474</v>
      </c>
      <c r="B231" s="37" t="s">
        <v>481</v>
      </c>
      <c r="C231" s="36" t="s">
        <v>482</v>
      </c>
      <c r="D231" s="38">
        <v>34.03</v>
      </c>
    </row>
    <row r="232">
      <c r="A232" s="33" t="s">
        <v>474</v>
      </c>
      <c r="B232" s="34" t="s">
        <v>483</v>
      </c>
      <c r="C232" s="33" t="s">
        <v>484</v>
      </c>
      <c r="D232" s="35">
        <v>160.42</v>
      </c>
    </row>
    <row r="233">
      <c r="A233" s="36" t="s">
        <v>485</v>
      </c>
      <c r="B233" s="37" t="s">
        <v>486</v>
      </c>
      <c r="C233" s="36" t="s">
        <v>487</v>
      </c>
      <c r="D233" s="38">
        <v>404.36</v>
      </c>
    </row>
    <row r="234">
      <c r="A234" s="33" t="s">
        <v>485</v>
      </c>
      <c r="B234" s="34" t="s">
        <v>488</v>
      </c>
      <c r="C234" s="33" t="s">
        <v>489</v>
      </c>
      <c r="D234" s="35">
        <v>676.99</v>
      </c>
    </row>
    <row r="235">
      <c r="A235" s="36" t="s">
        <v>485</v>
      </c>
      <c r="B235" s="37" t="s">
        <v>490</v>
      </c>
      <c r="C235" s="36" t="s">
        <v>491</v>
      </c>
      <c r="D235" s="38">
        <v>560.41</v>
      </c>
    </row>
    <row r="236">
      <c r="A236" s="33" t="s">
        <v>485</v>
      </c>
      <c r="B236" s="34" t="s">
        <v>492</v>
      </c>
      <c r="C236" s="33" t="s">
        <v>493</v>
      </c>
      <c r="D236" s="35">
        <v>560.41</v>
      </c>
    </row>
    <row r="237">
      <c r="A237" s="36" t="s">
        <v>485</v>
      </c>
      <c r="B237" s="37" t="s">
        <v>494</v>
      </c>
      <c r="C237" s="36" t="s">
        <v>495</v>
      </c>
      <c r="D237" s="38">
        <v>305.14</v>
      </c>
    </row>
    <row r="238">
      <c r="A238" s="33" t="s">
        <v>485</v>
      </c>
      <c r="B238" s="34" t="s">
        <v>496</v>
      </c>
      <c r="C238" s="33" t="s">
        <v>497</v>
      </c>
      <c r="D238" s="35">
        <v>1000.0</v>
      </c>
    </row>
    <row r="239">
      <c r="A239" s="36" t="s">
        <v>485</v>
      </c>
      <c r="B239" s="37" t="s">
        <v>498</v>
      </c>
      <c r="C239" s="36" t="s">
        <v>499</v>
      </c>
      <c r="D239" s="38">
        <v>1746.25</v>
      </c>
    </row>
    <row r="240">
      <c r="A240" s="33" t="s">
        <v>485</v>
      </c>
      <c r="B240" s="34" t="s">
        <v>500</v>
      </c>
      <c r="C240" s="33" t="s">
        <v>501</v>
      </c>
      <c r="D240" s="35">
        <v>129.51</v>
      </c>
    </row>
    <row r="241">
      <c r="A241" s="36" t="s">
        <v>485</v>
      </c>
      <c r="B241" s="37" t="s">
        <v>502</v>
      </c>
      <c r="C241" s="36" t="s">
        <v>503</v>
      </c>
      <c r="D241" s="38">
        <v>152.47</v>
      </c>
    </row>
    <row r="242">
      <c r="A242" s="33" t="s">
        <v>485</v>
      </c>
      <c r="B242" s="34" t="s">
        <v>504</v>
      </c>
      <c r="C242" s="33" t="s">
        <v>505</v>
      </c>
      <c r="D242" s="35">
        <v>660.73</v>
      </c>
    </row>
    <row r="243">
      <c r="A243" s="36" t="s">
        <v>485</v>
      </c>
      <c r="B243" s="37" t="s">
        <v>506</v>
      </c>
      <c r="C243" s="36" t="s">
        <v>507</v>
      </c>
      <c r="D243" s="38">
        <v>165.8</v>
      </c>
    </row>
    <row r="244">
      <c r="A244" s="33" t="s">
        <v>485</v>
      </c>
      <c r="B244" s="34" t="s">
        <v>508</v>
      </c>
      <c r="C244" s="33" t="s">
        <v>509</v>
      </c>
      <c r="D244" s="35">
        <v>145.22</v>
      </c>
    </row>
    <row r="245">
      <c r="A245" s="36" t="s">
        <v>485</v>
      </c>
      <c r="B245" s="37" t="s">
        <v>510</v>
      </c>
      <c r="C245" s="36" t="s">
        <v>511</v>
      </c>
      <c r="D245" s="38">
        <v>152.01</v>
      </c>
    </row>
    <row r="246">
      <c r="A246" s="33" t="s">
        <v>485</v>
      </c>
      <c r="B246" s="34" t="s">
        <v>512</v>
      </c>
      <c r="C246" s="33" t="s">
        <v>513</v>
      </c>
      <c r="D246" s="35">
        <v>189.94</v>
      </c>
    </row>
    <row r="247">
      <c r="A247" s="36" t="s">
        <v>485</v>
      </c>
      <c r="B247" s="37" t="s">
        <v>514</v>
      </c>
      <c r="C247" s="36" t="s">
        <v>515</v>
      </c>
      <c r="D247" s="38">
        <v>226.69</v>
      </c>
    </row>
    <row r="248">
      <c r="A248" s="33" t="s">
        <v>485</v>
      </c>
      <c r="B248" s="34" t="s">
        <v>516</v>
      </c>
      <c r="C248" s="33" t="s">
        <v>517</v>
      </c>
      <c r="D248" s="35">
        <v>49.6</v>
      </c>
    </row>
    <row r="249">
      <c r="A249" s="36" t="s">
        <v>485</v>
      </c>
      <c r="B249" s="37" t="s">
        <v>518</v>
      </c>
      <c r="C249" s="36" t="s">
        <v>519</v>
      </c>
      <c r="D249" s="38">
        <v>59.29</v>
      </c>
    </row>
    <row r="250">
      <c r="A250" s="33" t="s">
        <v>485</v>
      </c>
      <c r="B250" s="34" t="s">
        <v>520</v>
      </c>
      <c r="C250" s="33" t="s">
        <v>521</v>
      </c>
      <c r="D250" s="35">
        <v>79.18</v>
      </c>
    </row>
    <row r="251">
      <c r="A251" s="36" t="s">
        <v>485</v>
      </c>
      <c r="B251" s="37" t="s">
        <v>522</v>
      </c>
      <c r="C251" s="36" t="s">
        <v>523</v>
      </c>
      <c r="D251" s="38">
        <v>104.67</v>
      </c>
    </row>
    <row r="252">
      <c r="A252" s="33" t="s">
        <v>485</v>
      </c>
      <c r="B252" s="34" t="s">
        <v>524</v>
      </c>
      <c r="C252" s="33" t="s">
        <v>525</v>
      </c>
      <c r="D252" s="35">
        <v>222.66</v>
      </c>
    </row>
    <row r="253">
      <c r="A253" s="36" t="s">
        <v>485</v>
      </c>
      <c r="B253" s="37" t="s">
        <v>526</v>
      </c>
      <c r="C253" s="36" t="s">
        <v>527</v>
      </c>
      <c r="D253" s="38">
        <v>410.77</v>
      </c>
    </row>
    <row r="254">
      <c r="A254" s="33" t="s">
        <v>485</v>
      </c>
      <c r="B254" s="34" t="s">
        <v>528</v>
      </c>
      <c r="C254" s="33" t="s">
        <v>529</v>
      </c>
      <c r="D254" s="35">
        <v>381.28</v>
      </c>
    </row>
    <row r="255">
      <c r="A255" s="36" t="s">
        <v>485</v>
      </c>
      <c r="B255" s="37" t="s">
        <v>530</v>
      </c>
      <c r="C255" s="36" t="s">
        <v>531</v>
      </c>
      <c r="D255" s="38">
        <v>716.22</v>
      </c>
    </row>
    <row r="256">
      <c r="A256" s="33" t="s">
        <v>485</v>
      </c>
      <c r="B256" s="34" t="s">
        <v>532</v>
      </c>
      <c r="C256" s="33" t="s">
        <v>533</v>
      </c>
      <c r="D256" s="35">
        <v>517.76</v>
      </c>
    </row>
    <row r="257">
      <c r="A257" s="36" t="s">
        <v>485</v>
      </c>
      <c r="B257" s="37" t="s">
        <v>534</v>
      </c>
      <c r="C257" s="36" t="s">
        <v>535</v>
      </c>
      <c r="D257" s="38">
        <v>657.23</v>
      </c>
    </row>
    <row r="258">
      <c r="A258" s="33" t="s">
        <v>485</v>
      </c>
      <c r="B258" s="34" t="s">
        <v>536</v>
      </c>
      <c r="C258" s="33" t="s">
        <v>537</v>
      </c>
      <c r="D258" s="35">
        <v>1850.0</v>
      </c>
    </row>
    <row r="259">
      <c r="A259" s="36" t="s">
        <v>485</v>
      </c>
      <c r="B259" s="37" t="s">
        <v>538</v>
      </c>
      <c r="C259" s="36" t="s">
        <v>539</v>
      </c>
      <c r="D259" s="38">
        <v>1950.0</v>
      </c>
    </row>
    <row r="260">
      <c r="A260" s="33" t="s">
        <v>485</v>
      </c>
      <c r="B260" s="34" t="s">
        <v>540</v>
      </c>
      <c r="C260" s="33" t="s">
        <v>541</v>
      </c>
      <c r="D260" s="35">
        <v>4950.63</v>
      </c>
    </row>
    <row r="261">
      <c r="A261" s="36" t="s">
        <v>485</v>
      </c>
      <c r="B261" s="37" t="s">
        <v>542</v>
      </c>
      <c r="C261" s="36" t="s">
        <v>543</v>
      </c>
      <c r="D261" s="38">
        <v>4453.54</v>
      </c>
    </row>
    <row r="262">
      <c r="A262" s="33" t="s">
        <v>485</v>
      </c>
      <c r="B262" s="34" t="s">
        <v>544</v>
      </c>
      <c r="C262" s="33" t="s">
        <v>545</v>
      </c>
      <c r="D262" s="35">
        <v>3857.19</v>
      </c>
    </row>
    <row r="263">
      <c r="A263" s="36" t="s">
        <v>485</v>
      </c>
      <c r="B263" s="37" t="s">
        <v>546</v>
      </c>
      <c r="C263" s="36" t="s">
        <v>547</v>
      </c>
      <c r="D263" s="38">
        <v>79.18</v>
      </c>
    </row>
    <row r="264">
      <c r="A264" s="33" t="s">
        <v>485</v>
      </c>
      <c r="B264" s="34" t="s">
        <v>548</v>
      </c>
      <c r="C264" s="33" t="s">
        <v>549</v>
      </c>
      <c r="D264" s="35">
        <v>1103.59</v>
      </c>
    </row>
    <row r="265">
      <c r="A265" s="36" t="s">
        <v>485</v>
      </c>
      <c r="B265" s="37" t="s">
        <v>550</v>
      </c>
      <c r="C265" s="36" t="s">
        <v>551</v>
      </c>
      <c r="D265" s="38">
        <v>732.98</v>
      </c>
    </row>
    <row r="266">
      <c r="A266" s="33" t="s">
        <v>485</v>
      </c>
      <c r="B266" s="34" t="s">
        <v>552</v>
      </c>
      <c r="C266" s="33" t="s">
        <v>553</v>
      </c>
      <c r="D266" s="35">
        <v>2287.61</v>
      </c>
    </row>
    <row r="267">
      <c r="A267" s="36" t="s">
        <v>485</v>
      </c>
      <c r="B267" s="37" t="s">
        <v>554</v>
      </c>
      <c r="C267" s="36" t="s">
        <v>555</v>
      </c>
      <c r="D267" s="38">
        <v>2375.3</v>
      </c>
    </row>
    <row r="268">
      <c r="A268" s="33" t="s">
        <v>485</v>
      </c>
      <c r="B268" s="34" t="s">
        <v>556</v>
      </c>
      <c r="C268" s="33" t="s">
        <v>557</v>
      </c>
      <c r="D268" s="35">
        <v>75.52</v>
      </c>
    </row>
    <row r="269">
      <c r="A269" s="36" t="s">
        <v>485</v>
      </c>
      <c r="B269" s="37" t="s">
        <v>558</v>
      </c>
      <c r="C269" s="36" t="s">
        <v>559</v>
      </c>
      <c r="D269" s="38">
        <v>101.15</v>
      </c>
    </row>
    <row r="270">
      <c r="A270" s="33" t="s">
        <v>485</v>
      </c>
      <c r="B270" s="34" t="s">
        <v>560</v>
      </c>
      <c r="C270" s="33" t="s">
        <v>561</v>
      </c>
      <c r="D270" s="35">
        <v>1281.63</v>
      </c>
    </row>
    <row r="271">
      <c r="A271" s="36" t="s">
        <v>485</v>
      </c>
      <c r="B271" s="37" t="s">
        <v>562</v>
      </c>
      <c r="C271" s="36" t="s">
        <v>563</v>
      </c>
      <c r="D271" s="38">
        <v>1893.97</v>
      </c>
    </row>
    <row r="272">
      <c r="A272" s="33" t="s">
        <v>485</v>
      </c>
      <c r="B272" s="34" t="s">
        <v>564</v>
      </c>
      <c r="C272" s="33" t="s">
        <v>565</v>
      </c>
      <c r="D272" s="35">
        <v>1456.13</v>
      </c>
    </row>
    <row r="273">
      <c r="A273" s="36" t="s">
        <v>485</v>
      </c>
      <c r="B273" s="37" t="s">
        <v>566</v>
      </c>
      <c r="C273" s="36" t="s">
        <v>567</v>
      </c>
      <c r="D273" s="38">
        <v>100.48</v>
      </c>
    </row>
    <row r="274">
      <c r="A274" s="33" t="s">
        <v>485</v>
      </c>
      <c r="B274" s="34" t="s">
        <v>568</v>
      </c>
      <c r="C274" s="33" t="s">
        <v>569</v>
      </c>
      <c r="D274" s="35">
        <v>100.48</v>
      </c>
    </row>
    <row r="275">
      <c r="A275" s="36" t="s">
        <v>485</v>
      </c>
      <c r="B275" s="37" t="s">
        <v>570</v>
      </c>
      <c r="C275" s="36" t="s">
        <v>571</v>
      </c>
      <c r="D275" s="38">
        <v>1327.66</v>
      </c>
    </row>
    <row r="276">
      <c r="A276" s="33" t="s">
        <v>485</v>
      </c>
      <c r="B276" s="34" t="s">
        <v>572</v>
      </c>
      <c r="C276" s="33" t="s">
        <v>573</v>
      </c>
      <c r="D276" s="35">
        <v>2733.49</v>
      </c>
    </row>
    <row r="277">
      <c r="A277" s="36" t="s">
        <v>485</v>
      </c>
      <c r="B277" s="37" t="s">
        <v>574</v>
      </c>
      <c r="C277" s="36" t="s">
        <v>575</v>
      </c>
      <c r="D277" s="38">
        <v>1274.52</v>
      </c>
    </row>
    <row r="278">
      <c r="A278" s="33" t="s">
        <v>485</v>
      </c>
      <c r="B278" s="34" t="s">
        <v>576</v>
      </c>
      <c r="C278" s="33" t="s">
        <v>577</v>
      </c>
      <c r="D278" s="35">
        <v>94.82</v>
      </c>
    </row>
    <row r="279">
      <c r="A279" s="36" t="s">
        <v>485</v>
      </c>
      <c r="B279" s="37" t="s">
        <v>578</v>
      </c>
      <c r="C279" s="36" t="s">
        <v>579</v>
      </c>
      <c r="D279" s="38">
        <v>38.56</v>
      </c>
    </row>
    <row r="280">
      <c r="A280" s="33" t="s">
        <v>485</v>
      </c>
      <c r="B280" s="34" t="s">
        <v>580</v>
      </c>
      <c r="C280" s="33" t="s">
        <v>581</v>
      </c>
      <c r="D280" s="35">
        <v>75.9</v>
      </c>
    </row>
    <row r="281">
      <c r="A281" s="36" t="s">
        <v>485</v>
      </c>
      <c r="B281" s="37" t="s">
        <v>582</v>
      </c>
      <c r="C281" s="36" t="s">
        <v>583</v>
      </c>
      <c r="D281" s="38">
        <v>3189.63</v>
      </c>
    </row>
    <row r="282">
      <c r="A282" s="33" t="s">
        <v>485</v>
      </c>
      <c r="B282" s="34" t="s">
        <v>584</v>
      </c>
      <c r="C282" s="33" t="s">
        <v>585</v>
      </c>
      <c r="D282" s="35">
        <v>3703.0</v>
      </c>
    </row>
    <row r="283">
      <c r="A283" s="36" t="s">
        <v>485</v>
      </c>
      <c r="B283" s="37" t="s">
        <v>586</v>
      </c>
      <c r="C283" s="36" t="s">
        <v>587</v>
      </c>
      <c r="D283" s="38">
        <v>986.7</v>
      </c>
    </row>
    <row r="284">
      <c r="A284" s="33" t="s">
        <v>485</v>
      </c>
      <c r="B284" s="34" t="s">
        <v>588</v>
      </c>
      <c r="C284" s="33" t="s">
        <v>589</v>
      </c>
      <c r="D284" s="35">
        <v>636.95</v>
      </c>
    </row>
    <row r="285">
      <c r="A285" s="36" t="s">
        <v>485</v>
      </c>
      <c r="B285" s="37" t="s">
        <v>590</v>
      </c>
      <c r="C285" s="36" t="s">
        <v>591</v>
      </c>
      <c r="D285" s="38">
        <v>1216.03</v>
      </c>
    </row>
    <row r="286">
      <c r="A286" s="33" t="s">
        <v>485</v>
      </c>
      <c r="B286" s="34" t="s">
        <v>592</v>
      </c>
      <c r="C286" s="33" t="s">
        <v>593</v>
      </c>
      <c r="D286" s="35">
        <v>1216.03</v>
      </c>
    </row>
    <row r="287">
      <c r="A287" s="36" t="s">
        <v>485</v>
      </c>
      <c r="B287" s="37" t="s">
        <v>594</v>
      </c>
      <c r="C287" s="36" t="s">
        <v>595</v>
      </c>
      <c r="D287" s="38">
        <v>1594.84</v>
      </c>
    </row>
    <row r="288">
      <c r="A288" s="33" t="s">
        <v>485</v>
      </c>
      <c r="B288" s="34" t="s">
        <v>596</v>
      </c>
      <c r="C288" s="33" t="s">
        <v>597</v>
      </c>
      <c r="D288" s="35">
        <v>840.49</v>
      </c>
    </row>
    <row r="289">
      <c r="A289" s="36" t="s">
        <v>485</v>
      </c>
      <c r="B289" s="37" t="s">
        <v>598</v>
      </c>
      <c r="C289" s="36" t="s">
        <v>599</v>
      </c>
      <c r="D289" s="38">
        <v>1745.49</v>
      </c>
    </row>
    <row r="290">
      <c r="A290" s="33" t="s">
        <v>485</v>
      </c>
      <c r="B290" s="34" t="s">
        <v>600</v>
      </c>
      <c r="C290" s="33" t="s">
        <v>601</v>
      </c>
      <c r="D290" s="35">
        <v>436.67</v>
      </c>
    </row>
    <row r="291">
      <c r="A291" s="36" t="s">
        <v>485</v>
      </c>
      <c r="B291" s="37" t="s">
        <v>602</v>
      </c>
      <c r="C291" s="36" t="s">
        <v>603</v>
      </c>
      <c r="D291" s="38">
        <v>445.15</v>
      </c>
    </row>
    <row r="292">
      <c r="A292" s="33" t="s">
        <v>485</v>
      </c>
      <c r="B292" s="34" t="s">
        <v>604</v>
      </c>
      <c r="C292" s="33" t="s">
        <v>605</v>
      </c>
      <c r="D292" s="35">
        <v>606.17</v>
      </c>
    </row>
    <row r="293">
      <c r="A293" s="36" t="s">
        <v>485</v>
      </c>
      <c r="B293" s="37" t="s">
        <v>606</v>
      </c>
      <c r="C293" s="36" t="s">
        <v>607</v>
      </c>
      <c r="D293" s="38">
        <v>617.51</v>
      </c>
    </row>
    <row r="294">
      <c r="A294" s="33" t="s">
        <v>485</v>
      </c>
      <c r="B294" s="34" t="s">
        <v>608</v>
      </c>
      <c r="C294" s="33" t="s">
        <v>609</v>
      </c>
      <c r="D294" s="35">
        <v>817.49</v>
      </c>
    </row>
    <row r="295">
      <c r="A295" s="36" t="s">
        <v>485</v>
      </c>
      <c r="B295" s="37" t="s">
        <v>610</v>
      </c>
      <c r="C295" s="36" t="s">
        <v>611</v>
      </c>
      <c r="D295" s="38">
        <v>1034.44</v>
      </c>
    </row>
    <row r="296">
      <c r="A296" s="33" t="s">
        <v>485</v>
      </c>
      <c r="B296" s="34" t="s">
        <v>612</v>
      </c>
      <c r="C296" s="33" t="s">
        <v>613</v>
      </c>
      <c r="D296" s="35">
        <v>401.0</v>
      </c>
    </row>
    <row r="297">
      <c r="A297" s="36" t="s">
        <v>485</v>
      </c>
      <c r="B297" s="37" t="s">
        <v>614</v>
      </c>
      <c r="C297" s="36" t="s">
        <v>615</v>
      </c>
      <c r="D297" s="38">
        <v>680.79</v>
      </c>
    </row>
    <row r="298">
      <c r="A298" s="33" t="s">
        <v>485</v>
      </c>
      <c r="B298" s="34" t="s">
        <v>616</v>
      </c>
      <c r="C298" s="33" t="s">
        <v>617</v>
      </c>
      <c r="D298" s="35">
        <v>606.08</v>
      </c>
    </row>
    <row r="299">
      <c r="A299" s="36" t="s">
        <v>485</v>
      </c>
      <c r="B299" s="37" t="s">
        <v>618</v>
      </c>
      <c r="C299" s="36" t="s">
        <v>619</v>
      </c>
      <c r="D299" s="38">
        <v>780.69</v>
      </c>
    </row>
    <row r="300">
      <c r="A300" s="33" t="s">
        <v>485</v>
      </c>
      <c r="B300" s="34" t="s">
        <v>620</v>
      </c>
      <c r="C300" s="33" t="s">
        <v>621</v>
      </c>
      <c r="D300" s="35">
        <v>1657.67</v>
      </c>
    </row>
    <row r="301">
      <c r="A301" s="36" t="s">
        <v>485</v>
      </c>
      <c r="B301" s="37" t="s">
        <v>622</v>
      </c>
      <c r="C301" s="36" t="s">
        <v>623</v>
      </c>
      <c r="D301" s="38">
        <v>1180.22</v>
      </c>
    </row>
    <row r="302">
      <c r="A302" s="33" t="s">
        <v>485</v>
      </c>
      <c r="B302" s="34" t="s">
        <v>624</v>
      </c>
      <c r="C302" s="33" t="s">
        <v>625</v>
      </c>
      <c r="D302" s="35">
        <v>2096.03</v>
      </c>
    </row>
    <row r="303">
      <c r="A303" s="36" t="s">
        <v>485</v>
      </c>
      <c r="B303" s="37" t="s">
        <v>626</v>
      </c>
      <c r="C303" s="36" t="s">
        <v>627</v>
      </c>
      <c r="D303" s="38">
        <v>2544.69</v>
      </c>
    </row>
    <row r="304">
      <c r="A304" s="33" t="s">
        <v>485</v>
      </c>
      <c r="B304" s="34" t="s">
        <v>628</v>
      </c>
      <c r="C304" s="33" t="s">
        <v>629</v>
      </c>
      <c r="D304" s="35">
        <v>2967.08</v>
      </c>
    </row>
    <row r="305">
      <c r="A305" s="36" t="s">
        <v>485</v>
      </c>
      <c r="B305" s="37" t="s">
        <v>630</v>
      </c>
      <c r="C305" s="36" t="s">
        <v>631</v>
      </c>
      <c r="D305" s="38">
        <v>3228.95</v>
      </c>
    </row>
    <row r="306">
      <c r="A306" s="33" t="s">
        <v>485</v>
      </c>
      <c r="B306" s="34" t="s">
        <v>632</v>
      </c>
      <c r="C306" s="33" t="s">
        <v>633</v>
      </c>
      <c r="D306" s="35">
        <v>1192.1</v>
      </c>
    </row>
    <row r="307">
      <c r="A307" s="36" t="s">
        <v>485</v>
      </c>
      <c r="B307" s="37" t="s">
        <v>634</v>
      </c>
      <c r="C307" s="36" t="s">
        <v>635</v>
      </c>
      <c r="D307" s="38">
        <v>2020.44</v>
      </c>
    </row>
    <row r="308">
      <c r="A308" s="33" t="s">
        <v>485</v>
      </c>
      <c r="B308" s="34" t="s">
        <v>636</v>
      </c>
      <c r="C308" s="33" t="s">
        <v>637</v>
      </c>
      <c r="D308" s="35">
        <v>5609.9</v>
      </c>
    </row>
    <row r="309">
      <c r="A309" s="36" t="s">
        <v>485</v>
      </c>
      <c r="B309" s="37" t="s">
        <v>638</v>
      </c>
      <c r="C309" s="36" t="s">
        <v>639</v>
      </c>
      <c r="D309" s="38">
        <v>3326.57</v>
      </c>
    </row>
    <row r="310">
      <c r="A310" s="33" t="s">
        <v>485</v>
      </c>
      <c r="B310" s="34" t="s">
        <v>640</v>
      </c>
      <c r="C310" s="33" t="s">
        <v>641</v>
      </c>
      <c r="D310" s="35">
        <v>697.97</v>
      </c>
    </row>
    <row r="311">
      <c r="A311" s="36" t="s">
        <v>485</v>
      </c>
      <c r="B311" s="37" t="s">
        <v>642</v>
      </c>
      <c r="C311" s="36" t="s">
        <v>643</v>
      </c>
      <c r="D311" s="38">
        <v>2817.25</v>
      </c>
    </row>
    <row r="312">
      <c r="A312" s="36" t="s">
        <v>644</v>
      </c>
      <c r="B312" s="37" t="s">
        <v>645</v>
      </c>
      <c r="C312" s="36" t="s">
        <v>646</v>
      </c>
      <c r="D312" s="38">
        <v>184.18</v>
      </c>
    </row>
    <row r="313">
      <c r="A313" s="33" t="s">
        <v>644</v>
      </c>
      <c r="B313" s="34" t="s">
        <v>647</v>
      </c>
      <c r="C313" s="33" t="s">
        <v>648</v>
      </c>
      <c r="D313" s="35">
        <v>100.86</v>
      </c>
    </row>
    <row r="314">
      <c r="A314" s="33" t="s">
        <v>649</v>
      </c>
      <c r="B314" s="34" t="s">
        <v>650</v>
      </c>
      <c r="C314" s="33" t="s">
        <v>651</v>
      </c>
      <c r="D314" s="35">
        <v>18.64</v>
      </c>
    </row>
    <row r="315">
      <c r="A315" s="36" t="s">
        <v>649</v>
      </c>
      <c r="B315" s="37" t="s">
        <v>652</v>
      </c>
      <c r="C315" s="36" t="s">
        <v>653</v>
      </c>
      <c r="D315" s="38">
        <v>24.19</v>
      </c>
    </row>
    <row r="316">
      <c r="A316" s="33" t="s">
        <v>649</v>
      </c>
      <c r="B316" s="34" t="s">
        <v>654</v>
      </c>
      <c r="C316" s="33" t="s">
        <v>655</v>
      </c>
      <c r="D316" s="35">
        <v>32.72</v>
      </c>
    </row>
    <row r="317">
      <c r="A317" s="36" t="s">
        <v>649</v>
      </c>
      <c r="B317" s="37" t="s">
        <v>656</v>
      </c>
      <c r="C317" s="36" t="s">
        <v>657</v>
      </c>
      <c r="D317" s="38">
        <v>43.42</v>
      </c>
    </row>
    <row r="318">
      <c r="A318" s="33" t="s">
        <v>649</v>
      </c>
      <c r="B318" s="34" t="s">
        <v>658</v>
      </c>
      <c r="C318" s="33" t="s">
        <v>659</v>
      </c>
      <c r="D318" s="35">
        <v>16.93</v>
      </c>
    </row>
    <row r="319">
      <c r="A319" s="36" t="s">
        <v>649</v>
      </c>
      <c r="B319" s="37" t="s">
        <v>660</v>
      </c>
      <c r="C319" s="36" t="s">
        <v>661</v>
      </c>
      <c r="D319" s="38">
        <v>21.12</v>
      </c>
    </row>
    <row r="320">
      <c r="A320" s="33" t="s">
        <v>649</v>
      </c>
      <c r="B320" s="34" t="s">
        <v>662</v>
      </c>
      <c r="C320" s="33" t="s">
        <v>663</v>
      </c>
      <c r="D320" s="35">
        <v>26.41</v>
      </c>
    </row>
    <row r="321">
      <c r="A321" s="36" t="s">
        <v>649</v>
      </c>
      <c r="B321" s="37" t="s">
        <v>664</v>
      </c>
      <c r="C321" s="36" t="s">
        <v>665</v>
      </c>
      <c r="D321" s="38">
        <v>81.28</v>
      </c>
    </row>
    <row r="322">
      <c r="A322" s="33" t="s">
        <v>649</v>
      </c>
      <c r="B322" s="34" t="s">
        <v>666</v>
      </c>
      <c r="C322" s="33" t="s">
        <v>667</v>
      </c>
      <c r="D322" s="35">
        <v>20.25</v>
      </c>
    </row>
    <row r="323">
      <c r="A323" s="36" t="s">
        <v>649</v>
      </c>
      <c r="B323" s="37" t="s">
        <v>668</v>
      </c>
      <c r="C323" s="36" t="s">
        <v>669</v>
      </c>
      <c r="D323" s="38">
        <v>10.0</v>
      </c>
    </row>
    <row r="324">
      <c r="A324" s="33" t="s">
        <v>649</v>
      </c>
      <c r="B324" s="34" t="s">
        <v>670</v>
      </c>
      <c r="C324" s="33" t="s">
        <v>671</v>
      </c>
      <c r="D324" s="35">
        <v>5.91</v>
      </c>
    </row>
    <row r="325">
      <c r="A325" s="36" t="s">
        <v>649</v>
      </c>
      <c r="B325" s="37" t="s">
        <v>672</v>
      </c>
      <c r="C325" s="36" t="s">
        <v>673</v>
      </c>
      <c r="D325" s="38">
        <v>2.0</v>
      </c>
    </row>
    <row r="326">
      <c r="A326" s="33" t="s">
        <v>674</v>
      </c>
      <c r="B326" s="34" t="s">
        <v>675</v>
      </c>
      <c r="C326" s="33" t="s">
        <v>676</v>
      </c>
      <c r="D326" s="35">
        <v>41.5</v>
      </c>
    </row>
    <row r="327">
      <c r="A327" s="36" t="s">
        <v>674</v>
      </c>
      <c r="B327" s="37" t="s">
        <v>677</v>
      </c>
      <c r="C327" s="36" t="s">
        <v>678</v>
      </c>
      <c r="D327" s="38">
        <v>65.0</v>
      </c>
    </row>
    <row r="328">
      <c r="A328" s="33" t="s">
        <v>674</v>
      </c>
      <c r="B328" s="34" t="s">
        <v>679</v>
      </c>
      <c r="C328" s="33" t="s">
        <v>680</v>
      </c>
      <c r="D328" s="35">
        <v>20.0</v>
      </c>
    </row>
    <row r="329">
      <c r="A329" s="36" t="s">
        <v>674</v>
      </c>
      <c r="B329" s="37" t="s">
        <v>681</v>
      </c>
      <c r="C329" s="36" t="s">
        <v>682</v>
      </c>
      <c r="D329" s="38">
        <v>52.0</v>
      </c>
    </row>
    <row r="330">
      <c r="A330" s="33" t="s">
        <v>674</v>
      </c>
      <c r="B330" s="34" t="s">
        <v>683</v>
      </c>
      <c r="C330" s="33" t="s">
        <v>684</v>
      </c>
      <c r="D330" s="35">
        <v>32.11</v>
      </c>
    </row>
    <row r="331">
      <c r="A331" s="36" t="s">
        <v>674</v>
      </c>
      <c r="B331" s="37" t="s">
        <v>685</v>
      </c>
      <c r="C331" s="36" t="s">
        <v>686</v>
      </c>
      <c r="D331" s="38">
        <v>698.0</v>
      </c>
    </row>
    <row r="332">
      <c r="A332" s="33" t="s">
        <v>674</v>
      </c>
      <c r="B332" s="34" t="s">
        <v>687</v>
      </c>
      <c r="C332" s="33" t="s">
        <v>688</v>
      </c>
      <c r="D332" s="35">
        <v>387.08</v>
      </c>
    </row>
    <row r="333">
      <c r="A333" s="36" t="s">
        <v>674</v>
      </c>
      <c r="B333" s="37" t="s">
        <v>689</v>
      </c>
      <c r="C333" s="36" t="s">
        <v>690</v>
      </c>
      <c r="D333" s="38">
        <v>88.47</v>
      </c>
    </row>
    <row r="334">
      <c r="A334" s="33" t="s">
        <v>674</v>
      </c>
      <c r="B334" s="34" t="s">
        <v>691</v>
      </c>
      <c r="C334" s="33" t="s">
        <v>692</v>
      </c>
      <c r="D334" s="35">
        <v>846.53</v>
      </c>
    </row>
    <row r="335">
      <c r="A335" s="36" t="s">
        <v>674</v>
      </c>
      <c r="B335" s="37" t="s">
        <v>693</v>
      </c>
      <c r="C335" s="36" t="s">
        <v>694</v>
      </c>
      <c r="D335" s="38">
        <v>577.25</v>
      </c>
    </row>
    <row r="336">
      <c r="A336" s="33" t="s">
        <v>674</v>
      </c>
      <c r="B336" s="34" t="s">
        <v>695</v>
      </c>
      <c r="C336" s="33" t="s">
        <v>696</v>
      </c>
      <c r="D336" s="35">
        <v>361.84</v>
      </c>
    </row>
    <row r="337">
      <c r="A337" s="36" t="s">
        <v>674</v>
      </c>
      <c r="B337" s="37" t="s">
        <v>697</v>
      </c>
      <c r="C337" s="36" t="s">
        <v>698</v>
      </c>
      <c r="D337" s="38">
        <v>172.81</v>
      </c>
    </row>
    <row r="338">
      <c r="A338" s="33" t="s">
        <v>674</v>
      </c>
      <c r="B338" s="34" t="s">
        <v>699</v>
      </c>
      <c r="C338" s="33" t="s">
        <v>700</v>
      </c>
      <c r="D338" s="35">
        <v>50.0</v>
      </c>
    </row>
    <row r="339">
      <c r="A339" s="36" t="s">
        <v>674</v>
      </c>
      <c r="B339" s="37" t="s">
        <v>701</v>
      </c>
      <c r="C339" s="36" t="s">
        <v>702</v>
      </c>
      <c r="D339" s="38">
        <v>44.89</v>
      </c>
    </row>
    <row r="340">
      <c r="A340" s="33" t="s">
        <v>674</v>
      </c>
      <c r="B340" s="34" t="s">
        <v>703</v>
      </c>
      <c r="C340" s="33" t="s">
        <v>704</v>
      </c>
      <c r="D340" s="35">
        <v>35.0</v>
      </c>
    </row>
    <row r="341">
      <c r="A341" s="36" t="s">
        <v>674</v>
      </c>
      <c r="B341" s="37" t="s">
        <v>705</v>
      </c>
      <c r="C341" s="36" t="s">
        <v>706</v>
      </c>
      <c r="D341" s="38">
        <v>35.0</v>
      </c>
    </row>
    <row r="342">
      <c r="A342" s="33" t="s">
        <v>674</v>
      </c>
      <c r="B342" s="34" t="s">
        <v>707</v>
      </c>
      <c r="C342" s="33" t="s">
        <v>708</v>
      </c>
      <c r="D342" s="35">
        <v>134.06</v>
      </c>
    </row>
    <row r="343">
      <c r="A343" s="36" t="s">
        <v>674</v>
      </c>
      <c r="B343" s="37" t="s">
        <v>709</v>
      </c>
      <c r="C343" s="36" t="s">
        <v>710</v>
      </c>
      <c r="D343" s="38">
        <v>10.65</v>
      </c>
    </row>
    <row r="344">
      <c r="A344" s="33" t="s">
        <v>674</v>
      </c>
      <c r="B344" s="34" t="s">
        <v>711</v>
      </c>
      <c r="C344" s="33" t="s">
        <v>712</v>
      </c>
      <c r="D344" s="35">
        <v>12.43</v>
      </c>
    </row>
    <row r="345">
      <c r="A345" s="36" t="s">
        <v>674</v>
      </c>
      <c r="B345" s="37" t="s">
        <v>713</v>
      </c>
      <c r="C345" s="36" t="s">
        <v>714</v>
      </c>
      <c r="D345" s="38">
        <v>16.68</v>
      </c>
    </row>
    <row r="346">
      <c r="A346" s="33" t="s">
        <v>674</v>
      </c>
      <c r="B346" s="34" t="s">
        <v>715</v>
      </c>
      <c r="C346" s="33" t="s">
        <v>716</v>
      </c>
      <c r="D346" s="35">
        <v>19.81</v>
      </c>
    </row>
    <row r="347">
      <c r="A347" s="36" t="s">
        <v>674</v>
      </c>
      <c r="B347" s="37" t="s">
        <v>717</v>
      </c>
      <c r="C347" s="36" t="s">
        <v>718</v>
      </c>
      <c r="D347" s="38">
        <v>24.31</v>
      </c>
    </row>
    <row r="348">
      <c r="A348" s="33" t="s">
        <v>719</v>
      </c>
      <c r="B348" s="34" t="s">
        <v>720</v>
      </c>
      <c r="C348" s="33" t="s">
        <v>721</v>
      </c>
      <c r="D348" s="35">
        <v>23581.63</v>
      </c>
    </row>
    <row r="349">
      <c r="A349" s="36" t="s">
        <v>722</v>
      </c>
      <c r="B349" s="37" t="s">
        <v>723</v>
      </c>
      <c r="C349" s="36" t="s">
        <v>724</v>
      </c>
      <c r="D349" s="38">
        <v>2423.56</v>
      </c>
    </row>
    <row r="350">
      <c r="A350" s="33" t="s">
        <v>722</v>
      </c>
      <c r="B350" s="34" t="s">
        <v>725</v>
      </c>
      <c r="C350" s="33" t="s">
        <v>726</v>
      </c>
      <c r="D350" s="35">
        <v>2419.33</v>
      </c>
    </row>
    <row r="351">
      <c r="A351" s="36" t="s">
        <v>722</v>
      </c>
      <c r="B351" s="37" t="s">
        <v>727</v>
      </c>
      <c r="C351" s="36" t="s">
        <v>728</v>
      </c>
      <c r="D351" s="38">
        <v>1372.75</v>
      </c>
    </row>
    <row r="352">
      <c r="A352" s="33" t="s">
        <v>722</v>
      </c>
      <c r="B352" s="34" t="s">
        <v>729</v>
      </c>
      <c r="C352" s="33" t="s">
        <v>730</v>
      </c>
      <c r="D352" s="35">
        <v>1424.46</v>
      </c>
    </row>
    <row r="353">
      <c r="A353" s="36" t="s">
        <v>722</v>
      </c>
      <c r="B353" s="37" t="s">
        <v>731</v>
      </c>
      <c r="C353" s="36" t="s">
        <v>732</v>
      </c>
      <c r="D353" s="38">
        <v>2283.98</v>
      </c>
    </row>
    <row r="354">
      <c r="A354" s="33" t="s">
        <v>722</v>
      </c>
      <c r="B354" s="34" t="s">
        <v>733</v>
      </c>
      <c r="C354" s="33" t="s">
        <v>734</v>
      </c>
      <c r="D354" s="35">
        <v>2274.41</v>
      </c>
    </row>
    <row r="355">
      <c r="A355" s="33" t="s">
        <v>735</v>
      </c>
      <c r="B355" s="34" t="s">
        <v>736</v>
      </c>
      <c r="C355" s="33" t="s">
        <v>737</v>
      </c>
      <c r="D355" s="35">
        <v>10301.0</v>
      </c>
    </row>
    <row r="356">
      <c r="A356" s="36" t="s">
        <v>735</v>
      </c>
      <c r="B356" s="37" t="s">
        <v>738</v>
      </c>
      <c r="C356" s="36" t="s">
        <v>739</v>
      </c>
      <c r="D356" s="38">
        <v>10684.2</v>
      </c>
    </row>
    <row r="357">
      <c r="A357" s="33" t="s">
        <v>735</v>
      </c>
      <c r="B357" s="34" t="s">
        <v>740</v>
      </c>
      <c r="C357" s="33" t="s">
        <v>741</v>
      </c>
      <c r="D357" s="35">
        <v>11204.38</v>
      </c>
    </row>
    <row r="358">
      <c r="A358" s="36" t="s">
        <v>735</v>
      </c>
      <c r="B358" s="37" t="s">
        <v>742</v>
      </c>
      <c r="C358" s="36" t="s">
        <v>743</v>
      </c>
      <c r="D358" s="38">
        <v>12952.99</v>
      </c>
    </row>
    <row r="359">
      <c r="A359" s="33" t="s">
        <v>735</v>
      </c>
      <c r="B359" s="34" t="s">
        <v>744</v>
      </c>
      <c r="C359" s="33" t="s">
        <v>745</v>
      </c>
      <c r="D359" s="35">
        <v>13134.78</v>
      </c>
    </row>
    <row r="360">
      <c r="A360" s="36" t="s">
        <v>735</v>
      </c>
      <c r="B360" s="37" t="s">
        <v>746</v>
      </c>
      <c r="C360" s="36" t="s">
        <v>747</v>
      </c>
      <c r="D360" s="38">
        <v>17451.04</v>
      </c>
    </row>
    <row r="361">
      <c r="A361" s="33" t="s">
        <v>735</v>
      </c>
      <c r="B361" s="34" t="s">
        <v>748</v>
      </c>
      <c r="C361" s="33" t="s">
        <v>749</v>
      </c>
      <c r="D361" s="35">
        <v>22531.46</v>
      </c>
    </row>
    <row r="362">
      <c r="A362" s="36" t="s">
        <v>735</v>
      </c>
      <c r="B362" s="37" t="s">
        <v>750</v>
      </c>
      <c r="C362" s="36" t="s">
        <v>751</v>
      </c>
      <c r="D362" s="38">
        <v>29159.11</v>
      </c>
    </row>
    <row r="363">
      <c r="A363" s="33" t="s">
        <v>735</v>
      </c>
      <c r="B363" s="34" t="s">
        <v>752</v>
      </c>
      <c r="C363" s="33" t="s">
        <v>753</v>
      </c>
      <c r="D363" s="35">
        <v>33266.94</v>
      </c>
    </row>
    <row r="364">
      <c r="A364" s="33" t="s">
        <v>754</v>
      </c>
      <c r="B364" s="34" t="s">
        <v>755</v>
      </c>
      <c r="C364" s="33" t="s">
        <v>756</v>
      </c>
      <c r="D364" s="35">
        <v>159.23</v>
      </c>
    </row>
    <row r="365">
      <c r="A365" s="36" t="s">
        <v>754</v>
      </c>
      <c r="B365" s="37" t="s">
        <v>757</v>
      </c>
      <c r="C365" s="36" t="s">
        <v>758</v>
      </c>
      <c r="D365" s="38">
        <v>159.23</v>
      </c>
    </row>
    <row r="366">
      <c r="A366" s="33" t="s">
        <v>754</v>
      </c>
      <c r="B366" s="34" t="s">
        <v>759</v>
      </c>
      <c r="C366" s="33" t="s">
        <v>760</v>
      </c>
      <c r="D366" s="35">
        <v>277.96</v>
      </c>
    </row>
    <row r="367">
      <c r="A367" s="36" t="s">
        <v>754</v>
      </c>
      <c r="B367" s="37" t="s">
        <v>761</v>
      </c>
      <c r="C367" s="36" t="s">
        <v>762</v>
      </c>
      <c r="D367" s="38">
        <v>11.41</v>
      </c>
    </row>
    <row r="368">
      <c r="A368" s="33" t="s">
        <v>754</v>
      </c>
      <c r="B368" s="34" t="s">
        <v>763</v>
      </c>
      <c r="C368" s="33" t="s">
        <v>764</v>
      </c>
      <c r="D368" s="35">
        <v>6.42</v>
      </c>
    </row>
    <row r="369">
      <c r="A369" s="36" t="s">
        <v>754</v>
      </c>
      <c r="B369" s="37" t="s">
        <v>765</v>
      </c>
      <c r="C369" s="36" t="s">
        <v>766</v>
      </c>
      <c r="D369" s="38">
        <v>6.42</v>
      </c>
    </row>
    <row r="370">
      <c r="A370" s="33" t="s">
        <v>754</v>
      </c>
      <c r="B370" s="34" t="s">
        <v>767</v>
      </c>
      <c r="C370" s="33" t="s">
        <v>768</v>
      </c>
      <c r="D370" s="35">
        <v>13.42</v>
      </c>
    </row>
    <row r="371">
      <c r="A371" s="36" t="s">
        <v>754</v>
      </c>
      <c r="B371" s="37" t="s">
        <v>769</v>
      </c>
      <c r="C371" s="36" t="s">
        <v>770</v>
      </c>
      <c r="D371" s="38">
        <v>171.0</v>
      </c>
    </row>
    <row r="372">
      <c r="A372" s="33" t="s">
        <v>754</v>
      </c>
      <c r="B372" s="34" t="s">
        <v>771</v>
      </c>
      <c r="C372" s="33" t="s">
        <v>772</v>
      </c>
      <c r="D372" s="35">
        <v>171.0</v>
      </c>
    </row>
    <row r="373">
      <c r="A373" s="36" t="s">
        <v>754</v>
      </c>
      <c r="B373" s="37" t="s">
        <v>773</v>
      </c>
      <c r="C373" s="36" t="s">
        <v>774</v>
      </c>
      <c r="D373" s="38">
        <v>131.17</v>
      </c>
    </row>
    <row r="374">
      <c r="A374" s="33" t="s">
        <v>754</v>
      </c>
      <c r="B374" s="34" t="s">
        <v>775</v>
      </c>
      <c r="C374" s="33" t="s">
        <v>776</v>
      </c>
      <c r="D374" s="35">
        <v>131.17</v>
      </c>
    </row>
    <row r="375">
      <c r="A375" s="36" t="s">
        <v>777</v>
      </c>
      <c r="B375" s="37" t="s">
        <v>778</v>
      </c>
      <c r="C375" s="36" t="s">
        <v>779</v>
      </c>
      <c r="D375" s="38">
        <v>24.22</v>
      </c>
    </row>
    <row r="376">
      <c r="A376" s="33" t="s">
        <v>777</v>
      </c>
      <c r="B376" s="34" t="s">
        <v>780</v>
      </c>
      <c r="C376" s="33" t="s">
        <v>781</v>
      </c>
      <c r="D376" s="35">
        <v>18.0</v>
      </c>
    </row>
    <row r="377">
      <c r="A377" s="36" t="s">
        <v>777</v>
      </c>
      <c r="B377" s="37" t="s">
        <v>780</v>
      </c>
      <c r="C377" s="36" t="s">
        <v>782</v>
      </c>
      <c r="D377" s="38">
        <v>17.0</v>
      </c>
    </row>
    <row r="378">
      <c r="A378" s="33" t="s">
        <v>777</v>
      </c>
      <c r="B378" s="34" t="s">
        <v>783</v>
      </c>
      <c r="C378" s="33" t="s">
        <v>784</v>
      </c>
      <c r="D378" s="35">
        <v>57.0</v>
      </c>
    </row>
    <row r="379">
      <c r="A379" s="36" t="s">
        <v>777</v>
      </c>
      <c r="B379" s="37" t="s">
        <v>785</v>
      </c>
      <c r="C379" s="36" t="s">
        <v>786</v>
      </c>
      <c r="D379" s="38">
        <v>57.0</v>
      </c>
    </row>
    <row r="380">
      <c r="A380" s="33" t="s">
        <v>777</v>
      </c>
      <c r="B380" s="34" t="s">
        <v>787</v>
      </c>
      <c r="C380" s="33" t="s">
        <v>788</v>
      </c>
      <c r="D380" s="35">
        <v>65.0</v>
      </c>
    </row>
    <row r="381">
      <c r="A381" s="36" t="s">
        <v>777</v>
      </c>
      <c r="B381" s="37" t="s">
        <v>789</v>
      </c>
      <c r="C381" s="36" t="s">
        <v>790</v>
      </c>
      <c r="D381" s="38">
        <v>65.0</v>
      </c>
    </row>
    <row r="382">
      <c r="A382" s="33" t="s">
        <v>777</v>
      </c>
      <c r="B382" s="34" t="s">
        <v>791</v>
      </c>
      <c r="C382" s="33" t="s">
        <v>792</v>
      </c>
      <c r="D382" s="35">
        <v>12.0</v>
      </c>
    </row>
    <row r="383">
      <c r="A383" s="36" t="s">
        <v>777</v>
      </c>
      <c r="B383" s="37" t="s">
        <v>793</v>
      </c>
      <c r="C383" s="36" t="s">
        <v>794</v>
      </c>
      <c r="D383" s="38">
        <v>76.0</v>
      </c>
    </row>
    <row r="384">
      <c r="A384" s="33" t="s">
        <v>777</v>
      </c>
      <c r="B384" s="34" t="s">
        <v>795</v>
      </c>
      <c r="C384" s="33" t="s">
        <v>796</v>
      </c>
      <c r="D384" s="35">
        <v>61.0</v>
      </c>
    </row>
    <row r="385">
      <c r="A385" s="36" t="s">
        <v>777</v>
      </c>
      <c r="B385" s="37" t="s">
        <v>797</v>
      </c>
      <c r="C385" s="36" t="s">
        <v>798</v>
      </c>
      <c r="D385" s="38">
        <v>86.0</v>
      </c>
    </row>
    <row r="386">
      <c r="A386" s="33" t="s">
        <v>777</v>
      </c>
      <c r="B386" s="34" t="s">
        <v>799</v>
      </c>
      <c r="C386" s="33" t="s">
        <v>800</v>
      </c>
      <c r="D386" s="35">
        <v>72.0</v>
      </c>
    </row>
    <row r="387">
      <c r="A387" s="36" t="s">
        <v>777</v>
      </c>
      <c r="B387" s="37" t="s">
        <v>801</v>
      </c>
      <c r="C387" s="36" t="s">
        <v>802</v>
      </c>
      <c r="D387" s="38">
        <v>35.0</v>
      </c>
    </row>
    <row r="388">
      <c r="A388" s="33" t="s">
        <v>777</v>
      </c>
      <c r="B388" s="34" t="s">
        <v>803</v>
      </c>
      <c r="C388" s="33" t="s">
        <v>804</v>
      </c>
      <c r="D388" s="35">
        <v>156.68</v>
      </c>
    </row>
    <row r="389">
      <c r="A389" s="36" t="s">
        <v>777</v>
      </c>
      <c r="B389" s="37" t="s">
        <v>805</v>
      </c>
      <c r="C389" s="36" t="s">
        <v>806</v>
      </c>
      <c r="D389" s="38">
        <v>156.68</v>
      </c>
    </row>
    <row r="390">
      <c r="A390" s="33" t="s">
        <v>777</v>
      </c>
      <c r="B390" s="34" t="s">
        <v>807</v>
      </c>
      <c r="C390" s="33" t="s">
        <v>808</v>
      </c>
      <c r="D390" s="35">
        <v>59.02</v>
      </c>
    </row>
    <row r="391">
      <c r="A391" s="36" t="s">
        <v>777</v>
      </c>
      <c r="B391" s="37" t="s">
        <v>809</v>
      </c>
      <c r="C391" s="36" t="s">
        <v>810</v>
      </c>
      <c r="D391" s="38">
        <v>30.0</v>
      </c>
    </row>
    <row r="392">
      <c r="A392" s="33" t="s">
        <v>777</v>
      </c>
      <c r="B392" s="34" t="s">
        <v>811</v>
      </c>
      <c r="C392" s="33" t="s">
        <v>812</v>
      </c>
      <c r="D392" s="35">
        <v>28.0</v>
      </c>
    </row>
    <row r="393">
      <c r="A393" s="36" t="s">
        <v>777</v>
      </c>
      <c r="B393" s="37" t="s">
        <v>813</v>
      </c>
      <c r="C393" s="36" t="s">
        <v>814</v>
      </c>
      <c r="D393" s="38">
        <v>129.16</v>
      </c>
    </row>
    <row r="394">
      <c r="A394" s="33" t="s">
        <v>777</v>
      </c>
      <c r="B394" s="34" t="s">
        <v>815</v>
      </c>
      <c r="C394" s="33" t="s">
        <v>816</v>
      </c>
      <c r="D394" s="35">
        <v>62.0</v>
      </c>
    </row>
    <row r="395">
      <c r="A395" s="36" t="s">
        <v>777</v>
      </c>
      <c r="B395" s="37" t="s">
        <v>817</v>
      </c>
      <c r="C395" s="36" t="s">
        <v>818</v>
      </c>
      <c r="D395" s="38">
        <v>155.18</v>
      </c>
    </row>
    <row r="396">
      <c r="A396" s="33" t="s">
        <v>777</v>
      </c>
      <c r="B396" s="34" t="s">
        <v>819</v>
      </c>
      <c r="C396" s="33" t="s">
        <v>820</v>
      </c>
      <c r="D396" s="35">
        <v>276.67</v>
      </c>
    </row>
    <row r="397">
      <c r="A397" s="36" t="s">
        <v>777</v>
      </c>
      <c r="B397" s="37" t="s">
        <v>821</v>
      </c>
      <c r="C397" s="36" t="s">
        <v>822</v>
      </c>
      <c r="D397" s="38">
        <v>23.61</v>
      </c>
    </row>
    <row r="398">
      <c r="A398" s="39"/>
      <c r="B398" s="40"/>
      <c r="C398" s="40"/>
      <c r="D398" s="41"/>
    </row>
    <row r="399">
      <c r="A399" s="39"/>
      <c r="B399" s="40"/>
      <c r="C399" s="40"/>
      <c r="D399" s="41"/>
    </row>
    <row r="400">
      <c r="A400" s="39"/>
      <c r="B400" s="40"/>
      <c r="C400" s="40"/>
      <c r="D400" s="41"/>
    </row>
    <row r="401">
      <c r="A401" s="39"/>
      <c r="B401" s="40"/>
      <c r="C401" s="40"/>
      <c r="D401" s="41"/>
    </row>
    <row r="402">
      <c r="A402" s="39"/>
      <c r="B402" s="40"/>
      <c r="C402" s="40"/>
      <c r="D402" s="41"/>
    </row>
    <row r="403">
      <c r="A403" s="39"/>
      <c r="B403" s="40"/>
      <c r="C403" s="40"/>
      <c r="D403" s="41"/>
    </row>
    <row r="404">
      <c r="A404" s="39"/>
      <c r="B404" s="40"/>
      <c r="C404" s="40"/>
      <c r="D404" s="41"/>
    </row>
    <row r="405">
      <c r="A405" s="39"/>
      <c r="B405" s="40"/>
      <c r="C405" s="40"/>
      <c r="D405" s="41"/>
    </row>
    <row r="406">
      <c r="A406" s="39"/>
      <c r="B406" s="40"/>
      <c r="C406" s="40"/>
      <c r="D406" s="41"/>
    </row>
    <row r="407">
      <c r="A407" s="39"/>
      <c r="B407" s="40"/>
      <c r="C407" s="40"/>
      <c r="D407" s="41"/>
    </row>
    <row r="408">
      <c r="A408" s="39"/>
      <c r="B408" s="40"/>
      <c r="C408" s="40"/>
      <c r="D408" s="41"/>
    </row>
    <row r="409">
      <c r="A409" s="39"/>
      <c r="B409" s="40"/>
      <c r="C409" s="40"/>
      <c r="D409" s="41"/>
    </row>
    <row r="410">
      <c r="A410" s="39"/>
      <c r="B410" s="40"/>
      <c r="C410" s="40"/>
      <c r="D410" s="41"/>
    </row>
    <row r="411">
      <c r="A411" s="39"/>
      <c r="B411" s="40"/>
      <c r="C411" s="40"/>
      <c r="D411" s="41"/>
    </row>
    <row r="412">
      <c r="A412" s="39"/>
      <c r="B412" s="40"/>
      <c r="C412" s="40"/>
      <c r="D412" s="41"/>
    </row>
    <row r="413">
      <c r="A413" s="39"/>
      <c r="B413" s="40"/>
      <c r="C413" s="40"/>
      <c r="D413" s="41"/>
    </row>
    <row r="414">
      <c r="A414" s="39"/>
      <c r="B414" s="40"/>
      <c r="C414" s="40"/>
      <c r="D414" s="41"/>
    </row>
    <row r="415">
      <c r="A415" s="39"/>
      <c r="B415" s="40"/>
      <c r="C415" s="40"/>
      <c r="D415" s="41"/>
    </row>
    <row r="416">
      <c r="A416" s="39"/>
      <c r="B416" s="40"/>
      <c r="C416" s="40"/>
      <c r="D416" s="41"/>
    </row>
    <row r="417">
      <c r="A417" s="39"/>
      <c r="B417" s="40"/>
      <c r="C417" s="40"/>
      <c r="D417" s="41"/>
    </row>
    <row r="418">
      <c r="A418" s="39"/>
      <c r="B418" s="40"/>
      <c r="C418" s="40"/>
      <c r="D418" s="41"/>
    </row>
    <row r="419">
      <c r="A419" s="39"/>
      <c r="B419" s="40"/>
      <c r="C419" s="40"/>
      <c r="D419" s="41"/>
    </row>
    <row r="420">
      <c r="A420" s="39"/>
      <c r="B420" s="40"/>
      <c r="C420" s="40"/>
      <c r="D420" s="41"/>
    </row>
    <row r="421">
      <c r="A421" s="39"/>
      <c r="B421" s="40"/>
      <c r="C421" s="40"/>
      <c r="D421" s="41"/>
    </row>
    <row r="422">
      <c r="A422" s="39"/>
      <c r="B422" s="40"/>
      <c r="C422" s="40"/>
      <c r="D422" s="41"/>
    </row>
    <row r="423">
      <c r="A423" s="39"/>
      <c r="B423" s="40"/>
      <c r="C423" s="40"/>
      <c r="D423" s="41"/>
    </row>
    <row r="424">
      <c r="A424" s="39"/>
      <c r="B424" s="40"/>
      <c r="C424" s="40"/>
      <c r="D424" s="41"/>
    </row>
    <row r="425">
      <c r="A425" s="39"/>
      <c r="B425" s="40"/>
      <c r="C425" s="40"/>
      <c r="D425" s="41"/>
    </row>
    <row r="426">
      <c r="A426" s="39"/>
      <c r="B426" s="40"/>
      <c r="C426" s="40"/>
      <c r="D426" s="41"/>
    </row>
    <row r="427">
      <c r="A427" s="39"/>
      <c r="B427" s="40"/>
      <c r="C427" s="40"/>
      <c r="D427" s="41"/>
    </row>
    <row r="428">
      <c r="A428" s="39"/>
      <c r="B428" s="40"/>
      <c r="C428" s="40"/>
      <c r="D428" s="41"/>
    </row>
    <row r="429">
      <c r="A429" s="39"/>
      <c r="B429" s="40"/>
      <c r="C429" s="40"/>
      <c r="D429" s="41"/>
    </row>
    <row r="430">
      <c r="A430" s="39"/>
      <c r="B430" s="40"/>
      <c r="C430" s="40"/>
      <c r="D430" s="41"/>
    </row>
    <row r="431">
      <c r="A431" s="39"/>
      <c r="B431" s="40"/>
      <c r="C431" s="40"/>
      <c r="D431" s="41"/>
    </row>
    <row r="432">
      <c r="A432" s="39"/>
      <c r="B432" s="40"/>
      <c r="C432" s="40"/>
      <c r="D432" s="41"/>
    </row>
    <row r="433">
      <c r="A433" s="39"/>
      <c r="B433" s="40"/>
      <c r="C433" s="40"/>
      <c r="D433" s="41"/>
    </row>
    <row r="434">
      <c r="A434" s="39"/>
      <c r="B434" s="40"/>
      <c r="C434" s="40"/>
      <c r="D434" s="41"/>
    </row>
    <row r="435">
      <c r="A435" s="39"/>
      <c r="B435" s="40"/>
      <c r="C435" s="40"/>
      <c r="D435" s="41"/>
    </row>
    <row r="436">
      <c r="A436" s="39"/>
      <c r="B436" s="40"/>
      <c r="C436" s="40"/>
      <c r="D436" s="41"/>
    </row>
    <row r="437">
      <c r="A437" s="39"/>
      <c r="B437" s="40"/>
      <c r="C437" s="40"/>
      <c r="D437" s="41"/>
    </row>
    <row r="438">
      <c r="A438" s="39"/>
      <c r="B438" s="40"/>
      <c r="C438" s="40"/>
      <c r="D438" s="41"/>
    </row>
    <row r="439">
      <c r="A439" s="39"/>
      <c r="B439" s="40"/>
      <c r="C439" s="40"/>
      <c r="D439" s="41"/>
    </row>
    <row r="440">
      <c r="A440" s="39"/>
      <c r="B440" s="40"/>
      <c r="C440" s="40"/>
      <c r="D440" s="41"/>
    </row>
    <row r="441">
      <c r="A441" s="39"/>
      <c r="B441" s="40"/>
      <c r="C441" s="40"/>
      <c r="D441" s="41"/>
    </row>
    <row r="442">
      <c r="A442" s="39"/>
      <c r="B442" s="40"/>
      <c r="C442" s="40"/>
      <c r="D442" s="41"/>
    </row>
    <row r="443">
      <c r="A443" s="39"/>
      <c r="B443" s="40"/>
      <c r="C443" s="40"/>
      <c r="D443" s="41"/>
    </row>
    <row r="444">
      <c r="A444" s="39"/>
      <c r="B444" s="40"/>
      <c r="C444" s="40"/>
      <c r="D444" s="41"/>
    </row>
    <row r="445">
      <c r="A445" s="39"/>
      <c r="B445" s="40"/>
      <c r="C445" s="40"/>
      <c r="D445" s="41"/>
    </row>
    <row r="446">
      <c r="A446" s="39"/>
      <c r="B446" s="40"/>
      <c r="C446" s="40"/>
      <c r="D446" s="41"/>
    </row>
    <row r="447">
      <c r="A447" s="39"/>
      <c r="B447" s="40"/>
      <c r="C447" s="40"/>
      <c r="D447" s="41"/>
    </row>
    <row r="448">
      <c r="A448" s="39"/>
      <c r="B448" s="40"/>
      <c r="C448" s="40"/>
      <c r="D448" s="41"/>
    </row>
    <row r="449">
      <c r="A449" s="39"/>
      <c r="B449" s="40"/>
      <c r="C449" s="40"/>
      <c r="D449" s="41"/>
    </row>
    <row r="450">
      <c r="A450" s="40"/>
      <c r="B450" s="40"/>
      <c r="C450" s="40"/>
      <c r="D450" s="41"/>
    </row>
    <row r="451">
      <c r="A451" s="40"/>
      <c r="B451" s="40"/>
      <c r="C451" s="40"/>
      <c r="D451" s="41"/>
    </row>
    <row r="452">
      <c r="A452" s="39"/>
      <c r="B452" s="40"/>
      <c r="C452" s="40"/>
      <c r="D452" s="41"/>
    </row>
    <row r="453">
      <c r="A453" s="39"/>
      <c r="B453" s="40"/>
      <c r="C453" s="40"/>
      <c r="D453" s="41"/>
    </row>
    <row r="454">
      <c r="A454" s="39"/>
      <c r="B454" s="40"/>
      <c r="C454" s="40"/>
      <c r="D454" s="41"/>
    </row>
    <row r="455">
      <c r="A455" s="39"/>
      <c r="B455" s="40"/>
      <c r="C455" s="40"/>
      <c r="D455" s="41"/>
    </row>
    <row r="456">
      <c r="A456" s="39"/>
      <c r="B456" s="40"/>
      <c r="C456" s="40"/>
      <c r="D456" s="41"/>
    </row>
    <row r="457">
      <c r="A457" s="39"/>
      <c r="B457" s="40"/>
      <c r="C457" s="40"/>
      <c r="D457" s="41"/>
    </row>
    <row r="458">
      <c r="A458" s="39"/>
      <c r="B458" s="40"/>
      <c r="C458" s="40"/>
      <c r="D458" s="41"/>
    </row>
    <row r="459">
      <c r="A459" s="39"/>
      <c r="B459" s="40"/>
      <c r="C459" s="40"/>
      <c r="D459" s="41"/>
    </row>
    <row r="460">
      <c r="A460" s="39"/>
      <c r="B460" s="40"/>
      <c r="C460" s="40"/>
      <c r="D460" s="41"/>
    </row>
    <row r="461">
      <c r="A461" s="39"/>
      <c r="B461" s="40"/>
      <c r="C461" s="40"/>
      <c r="D461" s="41"/>
    </row>
    <row r="462">
      <c r="A462" s="39"/>
      <c r="B462" s="40"/>
      <c r="C462" s="40"/>
      <c r="D462" s="41"/>
    </row>
    <row r="463">
      <c r="A463" s="39"/>
      <c r="B463" s="40"/>
      <c r="C463" s="40"/>
      <c r="D463" s="41"/>
    </row>
    <row r="464">
      <c r="A464" s="39"/>
      <c r="B464" s="40"/>
      <c r="C464" s="40"/>
      <c r="D464" s="41"/>
    </row>
    <row r="465">
      <c r="A465" s="39"/>
      <c r="B465" s="40"/>
      <c r="C465" s="40"/>
      <c r="D465" s="41"/>
    </row>
    <row r="466">
      <c r="A466" s="39"/>
      <c r="B466" s="40"/>
      <c r="C466" s="40"/>
      <c r="D466" s="41"/>
    </row>
    <row r="467">
      <c r="A467" s="39"/>
      <c r="B467" s="40"/>
      <c r="C467" s="40"/>
      <c r="D467" s="41"/>
    </row>
    <row r="468">
      <c r="A468" s="39"/>
      <c r="B468" s="40"/>
      <c r="C468" s="40"/>
      <c r="D468" s="41"/>
    </row>
    <row r="469">
      <c r="A469" s="39"/>
      <c r="B469" s="40"/>
      <c r="C469" s="40"/>
      <c r="D469" s="41"/>
    </row>
    <row r="470">
      <c r="A470" s="39"/>
      <c r="B470" s="40"/>
      <c r="C470" s="40"/>
      <c r="D470" s="41"/>
    </row>
    <row r="471">
      <c r="A471" s="39"/>
      <c r="B471" s="40"/>
      <c r="C471" s="40"/>
      <c r="D471" s="41"/>
    </row>
    <row r="472">
      <c r="A472" s="39"/>
      <c r="B472" s="40"/>
      <c r="C472" s="40"/>
      <c r="D472" s="41"/>
    </row>
    <row r="473">
      <c r="A473" s="39"/>
      <c r="B473" s="40"/>
      <c r="C473" s="40"/>
      <c r="D473" s="41"/>
    </row>
    <row r="474">
      <c r="A474" s="39"/>
      <c r="B474" s="40"/>
      <c r="C474" s="40"/>
      <c r="D474" s="41"/>
    </row>
    <row r="475">
      <c r="A475" s="39"/>
      <c r="B475" s="40"/>
      <c r="C475" s="40"/>
      <c r="D475" s="41"/>
    </row>
    <row r="476">
      <c r="A476" s="39"/>
      <c r="B476" s="40"/>
      <c r="C476" s="40"/>
      <c r="D476" s="41"/>
    </row>
    <row r="477">
      <c r="A477" s="39"/>
      <c r="B477" s="40"/>
      <c r="C477" s="40"/>
      <c r="D477" s="41"/>
    </row>
    <row r="478">
      <c r="A478" s="39"/>
      <c r="B478" s="40"/>
      <c r="C478" s="40"/>
      <c r="D478" s="41"/>
    </row>
    <row r="479">
      <c r="A479" s="39"/>
      <c r="B479" s="40"/>
      <c r="C479" s="40"/>
      <c r="D479" s="41"/>
    </row>
    <row r="480">
      <c r="A480" s="39"/>
      <c r="B480" s="40"/>
      <c r="C480" s="40"/>
      <c r="D480" s="41"/>
    </row>
    <row r="481">
      <c r="A481" s="39"/>
      <c r="B481" s="40"/>
      <c r="C481" s="40"/>
      <c r="D481" s="41"/>
    </row>
    <row r="482">
      <c r="A482" s="39"/>
      <c r="B482" s="40"/>
      <c r="C482" s="40"/>
      <c r="D482" s="41"/>
    </row>
    <row r="483">
      <c r="A483" s="39"/>
      <c r="B483" s="40"/>
      <c r="C483" s="40"/>
      <c r="D483" s="41"/>
    </row>
    <row r="484">
      <c r="A484" s="39"/>
      <c r="B484" s="40"/>
      <c r="C484" s="40"/>
      <c r="D484" s="41"/>
    </row>
    <row r="485">
      <c r="A485" s="39"/>
      <c r="B485" s="40"/>
      <c r="C485" s="40"/>
      <c r="D485" s="41"/>
    </row>
    <row r="486">
      <c r="A486" s="39"/>
      <c r="B486" s="40"/>
      <c r="C486" s="40"/>
      <c r="D486" s="41"/>
    </row>
    <row r="487">
      <c r="A487" s="39"/>
      <c r="B487" s="40"/>
      <c r="C487" s="40"/>
      <c r="D487" s="41"/>
    </row>
    <row r="488">
      <c r="A488" s="39"/>
      <c r="B488" s="40"/>
      <c r="C488" s="40"/>
      <c r="D488" s="41"/>
    </row>
    <row r="489">
      <c r="A489" s="39"/>
      <c r="B489" s="40"/>
      <c r="C489" s="40"/>
      <c r="D489" s="41"/>
    </row>
    <row r="490">
      <c r="A490" s="39"/>
      <c r="B490" s="40"/>
      <c r="C490" s="40"/>
      <c r="D490" s="41"/>
    </row>
    <row r="491">
      <c r="A491" s="39"/>
      <c r="B491" s="40"/>
      <c r="C491" s="40"/>
      <c r="D491" s="41"/>
    </row>
    <row r="492">
      <c r="A492" s="39"/>
      <c r="B492" s="40"/>
      <c r="C492" s="40"/>
      <c r="D492" s="41"/>
    </row>
    <row r="493">
      <c r="A493" s="39"/>
      <c r="B493" s="40"/>
      <c r="C493" s="40"/>
      <c r="D493" s="41"/>
    </row>
    <row r="494">
      <c r="A494" s="39"/>
      <c r="B494" s="40"/>
      <c r="C494" s="40"/>
      <c r="D494" s="41"/>
    </row>
    <row r="495">
      <c r="A495" s="39"/>
      <c r="B495" s="40"/>
      <c r="C495" s="40"/>
      <c r="D495" s="41"/>
    </row>
    <row r="496">
      <c r="A496" s="39"/>
      <c r="B496" s="40"/>
      <c r="C496" s="40"/>
      <c r="D496" s="41"/>
    </row>
    <row r="497">
      <c r="A497" s="39"/>
      <c r="B497" s="40"/>
      <c r="C497" s="40"/>
      <c r="D497" s="41"/>
    </row>
    <row r="498">
      <c r="A498" s="39"/>
      <c r="B498" s="40"/>
      <c r="C498" s="40"/>
      <c r="D498" s="41"/>
    </row>
    <row r="499">
      <c r="A499" s="39"/>
      <c r="B499" s="40"/>
      <c r="C499" s="40"/>
      <c r="D499" s="41"/>
    </row>
    <row r="500">
      <c r="A500" s="39"/>
      <c r="B500" s="40"/>
      <c r="C500" s="40"/>
      <c r="D500" s="41"/>
    </row>
    <row r="501">
      <c r="A501" s="39"/>
      <c r="B501" s="40"/>
      <c r="C501" s="40"/>
      <c r="D501" s="41"/>
    </row>
    <row r="502">
      <c r="A502" s="39"/>
      <c r="B502" s="40"/>
      <c r="C502" s="40"/>
      <c r="D502" s="41"/>
    </row>
    <row r="503">
      <c r="A503" s="39"/>
      <c r="B503" s="40"/>
      <c r="C503" s="40"/>
      <c r="D503" s="41"/>
    </row>
    <row r="504">
      <c r="A504" s="39"/>
      <c r="B504" s="40"/>
      <c r="C504" s="40"/>
      <c r="D504" s="41"/>
    </row>
    <row r="505">
      <c r="A505" s="39"/>
      <c r="B505" s="40"/>
      <c r="C505" s="40"/>
      <c r="D505" s="41"/>
    </row>
    <row r="506">
      <c r="A506" s="39"/>
      <c r="B506" s="40"/>
      <c r="C506" s="40"/>
      <c r="D506" s="41"/>
    </row>
    <row r="507">
      <c r="A507" s="39"/>
      <c r="B507" s="40"/>
      <c r="C507" s="40"/>
      <c r="D507" s="41"/>
    </row>
    <row r="508">
      <c r="A508" s="39"/>
      <c r="B508" s="40"/>
      <c r="C508" s="40"/>
      <c r="D508" s="41"/>
    </row>
    <row r="509">
      <c r="A509" s="39"/>
      <c r="B509" s="40"/>
      <c r="C509" s="40"/>
      <c r="D509" s="41"/>
    </row>
    <row r="510">
      <c r="A510" s="39"/>
      <c r="B510" s="40"/>
      <c r="C510" s="40"/>
      <c r="D510" s="41"/>
    </row>
    <row r="511">
      <c r="A511" s="39"/>
      <c r="B511" s="40"/>
      <c r="C511" s="40"/>
      <c r="D511" s="41"/>
    </row>
    <row r="512">
      <c r="A512" s="39"/>
      <c r="B512" s="40"/>
      <c r="C512" s="40"/>
      <c r="D512" s="41"/>
    </row>
    <row r="513">
      <c r="A513" s="39"/>
      <c r="B513" s="40"/>
      <c r="C513" s="40"/>
      <c r="D513" s="41"/>
    </row>
    <row r="514">
      <c r="A514" s="39"/>
      <c r="B514" s="40"/>
      <c r="C514" s="40"/>
      <c r="D514" s="41"/>
    </row>
    <row r="515">
      <c r="A515" s="39"/>
      <c r="B515" s="40"/>
      <c r="C515" s="40"/>
      <c r="D515" s="41"/>
    </row>
    <row r="516">
      <c r="A516" s="39"/>
      <c r="B516" s="40"/>
      <c r="C516" s="40"/>
      <c r="D516" s="41"/>
    </row>
    <row r="517">
      <c r="A517" s="39"/>
      <c r="B517" s="40"/>
      <c r="C517" s="40"/>
      <c r="D517" s="41"/>
    </row>
    <row r="518">
      <c r="A518" s="42"/>
      <c r="D518" s="43"/>
    </row>
    <row r="519">
      <c r="A519" s="42"/>
      <c r="D519" s="43"/>
    </row>
    <row r="520">
      <c r="A520" s="42"/>
      <c r="D520" s="43"/>
    </row>
    <row r="521">
      <c r="A521" s="42"/>
      <c r="D521" s="43"/>
    </row>
    <row r="522">
      <c r="A522" s="42"/>
      <c r="D522" s="43"/>
    </row>
    <row r="523">
      <c r="A523" s="42"/>
      <c r="D523" s="43"/>
    </row>
    <row r="524">
      <c r="A524" s="42"/>
      <c r="D524" s="43"/>
    </row>
    <row r="525">
      <c r="A525" s="42"/>
      <c r="D525" s="43"/>
    </row>
    <row r="526">
      <c r="A526" s="42"/>
      <c r="D526" s="43"/>
    </row>
    <row r="527">
      <c r="A527" s="42"/>
      <c r="D527" s="43"/>
    </row>
    <row r="528">
      <c r="A528" s="42"/>
      <c r="D528" s="43"/>
    </row>
    <row r="529">
      <c r="A529" s="42"/>
      <c r="D529" s="43"/>
    </row>
    <row r="530">
      <c r="A530" s="42"/>
      <c r="D530" s="43"/>
    </row>
    <row r="531">
      <c r="A531" s="42"/>
      <c r="D531" s="43"/>
    </row>
    <row r="532">
      <c r="A532" s="42"/>
      <c r="D532" s="43"/>
    </row>
    <row r="533">
      <c r="A533" s="42"/>
      <c r="D533" s="43"/>
    </row>
    <row r="534">
      <c r="A534" s="42"/>
      <c r="D534" s="43"/>
    </row>
    <row r="535">
      <c r="A535" s="42"/>
      <c r="D535" s="43"/>
    </row>
    <row r="536">
      <c r="A536" s="42"/>
      <c r="D536" s="43"/>
    </row>
    <row r="537">
      <c r="A537" s="42"/>
      <c r="D537" s="43"/>
    </row>
    <row r="538">
      <c r="A538" s="42"/>
      <c r="D538" s="43"/>
    </row>
    <row r="539">
      <c r="A539" s="42"/>
      <c r="D539" s="43"/>
    </row>
    <row r="540">
      <c r="A540" s="42"/>
      <c r="D540" s="43"/>
    </row>
    <row r="541">
      <c r="A541" s="42"/>
      <c r="D541" s="43"/>
    </row>
    <row r="542">
      <c r="A542" s="42"/>
      <c r="D542" s="43"/>
    </row>
    <row r="543">
      <c r="A543" s="42"/>
      <c r="D543" s="43"/>
    </row>
    <row r="544">
      <c r="A544" s="42"/>
      <c r="D544" s="43"/>
    </row>
    <row r="545">
      <c r="A545" s="42"/>
      <c r="D545" s="43"/>
    </row>
    <row r="546">
      <c r="A546" s="42"/>
      <c r="D546" s="43"/>
    </row>
    <row r="547">
      <c r="A547" s="42"/>
      <c r="D547" s="43"/>
    </row>
    <row r="548">
      <c r="A548" s="42"/>
      <c r="D548" s="43"/>
    </row>
    <row r="549">
      <c r="A549" s="42"/>
      <c r="D549" s="43"/>
    </row>
    <row r="550">
      <c r="A550" s="42"/>
      <c r="D550" s="43"/>
    </row>
    <row r="551">
      <c r="A551" s="42"/>
      <c r="D551" s="43"/>
    </row>
    <row r="552">
      <c r="A552" s="42"/>
      <c r="D552" s="43"/>
    </row>
    <row r="553">
      <c r="A553" s="42"/>
      <c r="D553" s="43"/>
    </row>
    <row r="554">
      <c r="A554" s="42"/>
      <c r="D554" s="43"/>
    </row>
    <row r="555">
      <c r="A555" s="42"/>
      <c r="D555" s="43"/>
    </row>
    <row r="556">
      <c r="A556" s="42"/>
      <c r="D556" s="43"/>
    </row>
    <row r="557">
      <c r="A557" s="42"/>
      <c r="D557" s="43"/>
    </row>
    <row r="558">
      <c r="A558" s="42"/>
      <c r="D558" s="43"/>
    </row>
    <row r="559">
      <c r="A559" s="42"/>
      <c r="D559" s="43"/>
    </row>
    <row r="560">
      <c r="A560" s="42"/>
      <c r="D560" s="43"/>
    </row>
    <row r="561">
      <c r="A561" s="42"/>
      <c r="D561" s="43"/>
    </row>
    <row r="562">
      <c r="A562" s="42"/>
      <c r="D562" s="43"/>
    </row>
    <row r="563">
      <c r="A563" s="42"/>
      <c r="D563" s="43"/>
    </row>
    <row r="564">
      <c r="A564" s="42"/>
      <c r="D564" s="43"/>
    </row>
    <row r="565">
      <c r="A565" s="42"/>
      <c r="D565" s="43"/>
    </row>
    <row r="566">
      <c r="A566" s="42"/>
      <c r="D566" s="43"/>
    </row>
    <row r="567">
      <c r="A567" s="42"/>
      <c r="D567" s="43"/>
    </row>
    <row r="568">
      <c r="A568" s="42"/>
      <c r="D568" s="43"/>
    </row>
    <row r="569">
      <c r="A569" s="42"/>
      <c r="D569" s="43"/>
    </row>
    <row r="570">
      <c r="A570" s="42"/>
      <c r="D570" s="43"/>
    </row>
    <row r="571">
      <c r="A571" s="42"/>
      <c r="D571" s="43"/>
    </row>
    <row r="572">
      <c r="A572" s="42"/>
      <c r="D572" s="43"/>
    </row>
    <row r="573">
      <c r="A573" s="42"/>
      <c r="D573" s="43"/>
    </row>
    <row r="574">
      <c r="A574" s="42"/>
      <c r="D574" s="43"/>
    </row>
    <row r="575">
      <c r="A575" s="42"/>
      <c r="D575" s="43"/>
    </row>
    <row r="576">
      <c r="A576" s="42"/>
      <c r="D576" s="43"/>
    </row>
    <row r="577">
      <c r="A577" s="42"/>
      <c r="D577" s="43"/>
    </row>
    <row r="578">
      <c r="A578" s="42"/>
      <c r="D578" s="43"/>
    </row>
    <row r="579">
      <c r="A579" s="42"/>
      <c r="D579" s="43"/>
    </row>
    <row r="580">
      <c r="A580" s="42"/>
      <c r="D580" s="43"/>
    </row>
    <row r="581">
      <c r="A581" s="42"/>
      <c r="D581" s="43"/>
    </row>
    <row r="582">
      <c r="A582" s="42"/>
      <c r="D582" s="43"/>
    </row>
    <row r="583">
      <c r="A583" s="42"/>
      <c r="D583" s="43"/>
    </row>
    <row r="584">
      <c r="A584" s="42"/>
      <c r="D584" s="43"/>
    </row>
    <row r="585">
      <c r="A585" s="42"/>
      <c r="D585" s="43"/>
    </row>
    <row r="586">
      <c r="A586" s="42"/>
      <c r="D586" s="43"/>
    </row>
    <row r="587">
      <c r="A587" s="42"/>
      <c r="D587" s="43"/>
    </row>
    <row r="588">
      <c r="A588" s="42"/>
      <c r="D588" s="43"/>
    </row>
    <row r="589">
      <c r="A589" s="42"/>
      <c r="D589" s="43"/>
    </row>
    <row r="590">
      <c r="A590" s="42"/>
      <c r="D590" s="43"/>
    </row>
    <row r="591">
      <c r="A591" s="42"/>
      <c r="D591" s="43"/>
    </row>
    <row r="592">
      <c r="A592" s="42"/>
      <c r="D592" s="43"/>
    </row>
    <row r="593">
      <c r="A593" s="42"/>
      <c r="D593" s="43"/>
    </row>
    <row r="594">
      <c r="A594" s="42"/>
      <c r="D594" s="43"/>
    </row>
    <row r="595">
      <c r="A595" s="42"/>
      <c r="D595" s="43"/>
    </row>
    <row r="596">
      <c r="A596" s="42"/>
      <c r="D596" s="43"/>
    </row>
    <row r="597">
      <c r="A597" s="42"/>
      <c r="D597" s="43"/>
    </row>
    <row r="598">
      <c r="A598" s="42"/>
      <c r="D598" s="43"/>
    </row>
    <row r="599">
      <c r="A599" s="42"/>
      <c r="D599" s="43"/>
    </row>
    <row r="600">
      <c r="A600" s="42"/>
      <c r="D600" s="43"/>
    </row>
    <row r="601">
      <c r="A601" s="42"/>
      <c r="D601" s="43"/>
    </row>
    <row r="602">
      <c r="A602" s="42"/>
      <c r="D602" s="43"/>
    </row>
    <row r="603">
      <c r="A603" s="42"/>
      <c r="D603" s="43"/>
    </row>
    <row r="604">
      <c r="A604" s="42"/>
      <c r="D604" s="43"/>
    </row>
    <row r="605">
      <c r="A605" s="42"/>
      <c r="D605" s="43"/>
    </row>
    <row r="606">
      <c r="A606" s="42"/>
      <c r="D606" s="43"/>
    </row>
    <row r="607">
      <c r="A607" s="42"/>
      <c r="D607" s="43"/>
    </row>
    <row r="608">
      <c r="A608" s="42"/>
      <c r="D608" s="43"/>
    </row>
    <row r="609">
      <c r="A609" s="42"/>
      <c r="D609" s="43"/>
    </row>
    <row r="610">
      <c r="A610" s="42"/>
      <c r="D610" s="43"/>
    </row>
    <row r="611">
      <c r="A611" s="42"/>
      <c r="D611" s="43"/>
    </row>
    <row r="612">
      <c r="A612" s="42"/>
      <c r="D612" s="43"/>
    </row>
    <row r="613">
      <c r="A613" s="42"/>
      <c r="D613" s="43"/>
    </row>
    <row r="614">
      <c r="A614" s="42"/>
      <c r="D614" s="43"/>
    </row>
    <row r="615">
      <c r="A615" s="42"/>
      <c r="D615" s="43"/>
    </row>
    <row r="616">
      <c r="A616" s="42"/>
      <c r="D616" s="43"/>
    </row>
    <row r="617">
      <c r="A617" s="42"/>
      <c r="D617" s="43"/>
    </row>
    <row r="618">
      <c r="A618" s="42"/>
      <c r="D618" s="43"/>
    </row>
    <row r="619">
      <c r="A619" s="42"/>
      <c r="D619" s="43"/>
    </row>
    <row r="620">
      <c r="A620" s="42"/>
      <c r="D620" s="43"/>
    </row>
    <row r="621">
      <c r="A621" s="42"/>
      <c r="D621" s="43"/>
    </row>
    <row r="622">
      <c r="A622" s="42"/>
      <c r="D622" s="43"/>
    </row>
    <row r="623">
      <c r="A623" s="42"/>
      <c r="D623" s="43"/>
    </row>
    <row r="624">
      <c r="A624" s="42"/>
      <c r="D624" s="43"/>
    </row>
    <row r="625">
      <c r="A625" s="42"/>
      <c r="D625" s="43"/>
    </row>
    <row r="626">
      <c r="A626" s="42"/>
      <c r="D626" s="43"/>
    </row>
    <row r="627">
      <c r="A627" s="42"/>
      <c r="D627" s="43"/>
    </row>
    <row r="628">
      <c r="A628" s="42"/>
      <c r="D628" s="43"/>
    </row>
    <row r="629">
      <c r="A629" s="42"/>
      <c r="D629" s="43"/>
    </row>
    <row r="630">
      <c r="A630" s="42"/>
      <c r="D630" s="43"/>
    </row>
    <row r="631">
      <c r="A631" s="42"/>
      <c r="D631" s="43"/>
    </row>
    <row r="632">
      <c r="A632" s="42"/>
      <c r="D632" s="43"/>
    </row>
    <row r="633">
      <c r="A633" s="42"/>
      <c r="D633" s="43"/>
    </row>
    <row r="634">
      <c r="A634" s="42"/>
      <c r="D634" s="43"/>
    </row>
    <row r="635">
      <c r="A635" s="42"/>
      <c r="D635" s="43"/>
    </row>
    <row r="636">
      <c r="A636" s="42"/>
      <c r="D636" s="43"/>
    </row>
    <row r="637">
      <c r="A637" s="42"/>
      <c r="D637" s="43"/>
    </row>
    <row r="638">
      <c r="A638" s="42"/>
      <c r="D638" s="43"/>
    </row>
    <row r="639">
      <c r="A639" s="42"/>
      <c r="D639" s="43"/>
    </row>
    <row r="640">
      <c r="A640" s="42"/>
      <c r="D640" s="43"/>
    </row>
    <row r="641">
      <c r="A641" s="42"/>
      <c r="D641" s="43"/>
    </row>
    <row r="642">
      <c r="A642" s="42"/>
      <c r="D642" s="43"/>
    </row>
    <row r="643">
      <c r="A643" s="42"/>
      <c r="D643" s="43"/>
    </row>
    <row r="644">
      <c r="A644" s="42"/>
      <c r="D644" s="43"/>
    </row>
    <row r="645">
      <c r="A645" s="42"/>
      <c r="D645" s="43"/>
    </row>
    <row r="646">
      <c r="A646" s="42"/>
      <c r="D646" s="43"/>
    </row>
    <row r="647">
      <c r="A647" s="42"/>
      <c r="D647" s="43"/>
    </row>
    <row r="648">
      <c r="A648" s="42"/>
      <c r="D648" s="43"/>
    </row>
    <row r="649">
      <c r="A649" s="42"/>
      <c r="D649" s="43"/>
    </row>
    <row r="650">
      <c r="A650" s="42"/>
      <c r="D650" s="43"/>
    </row>
    <row r="651">
      <c r="A651" s="42"/>
      <c r="D651" s="43"/>
    </row>
    <row r="652">
      <c r="A652" s="42"/>
      <c r="D652" s="43"/>
    </row>
    <row r="653">
      <c r="A653" s="42"/>
      <c r="D653" s="43"/>
    </row>
    <row r="654">
      <c r="A654" s="42"/>
      <c r="D654" s="43"/>
    </row>
    <row r="655">
      <c r="A655" s="42"/>
      <c r="D655" s="43"/>
    </row>
    <row r="656">
      <c r="A656" s="42"/>
      <c r="D656" s="43"/>
    </row>
    <row r="657">
      <c r="A657" s="42"/>
      <c r="D657" s="43"/>
    </row>
    <row r="658">
      <c r="A658" s="42"/>
      <c r="D658" s="43"/>
    </row>
    <row r="659">
      <c r="A659" s="42"/>
      <c r="D659" s="43"/>
    </row>
    <row r="660">
      <c r="A660" s="42"/>
      <c r="D660" s="43"/>
    </row>
    <row r="661">
      <c r="A661" s="42"/>
      <c r="D661" s="43"/>
    </row>
    <row r="662">
      <c r="A662" s="42"/>
      <c r="D662" s="43"/>
    </row>
    <row r="663">
      <c r="A663" s="42"/>
      <c r="D663" s="43"/>
    </row>
    <row r="664">
      <c r="A664" s="42"/>
      <c r="D664" s="43"/>
    </row>
    <row r="665">
      <c r="A665" s="42"/>
      <c r="D665" s="43"/>
    </row>
    <row r="666">
      <c r="A666" s="42"/>
      <c r="D666" s="43"/>
    </row>
    <row r="667">
      <c r="A667" s="42"/>
      <c r="D667" s="43"/>
    </row>
    <row r="668">
      <c r="A668" s="42"/>
      <c r="D668" s="43"/>
    </row>
    <row r="669">
      <c r="A669" s="42"/>
      <c r="D669" s="43"/>
    </row>
    <row r="670">
      <c r="A670" s="42"/>
      <c r="D670" s="43"/>
    </row>
    <row r="671">
      <c r="A671" s="42"/>
      <c r="D671" s="43"/>
    </row>
    <row r="672">
      <c r="A672" s="42"/>
      <c r="D672" s="43"/>
    </row>
    <row r="673">
      <c r="A673" s="42"/>
      <c r="D673" s="43"/>
    </row>
    <row r="674">
      <c r="A674" s="42"/>
      <c r="D674" s="43"/>
    </row>
    <row r="675">
      <c r="A675" s="42"/>
      <c r="D675" s="43"/>
    </row>
    <row r="676">
      <c r="A676" s="42"/>
      <c r="D676" s="43"/>
    </row>
    <row r="677">
      <c r="A677" s="42"/>
      <c r="D677" s="43"/>
    </row>
    <row r="678">
      <c r="A678" s="42"/>
      <c r="D678" s="43"/>
    </row>
    <row r="679">
      <c r="A679" s="42"/>
      <c r="D679" s="43"/>
    </row>
    <row r="680">
      <c r="A680" s="42"/>
      <c r="D680" s="43"/>
    </row>
    <row r="681">
      <c r="A681" s="42"/>
      <c r="D681" s="43"/>
    </row>
    <row r="682">
      <c r="A682" s="42"/>
      <c r="D682" s="43"/>
    </row>
    <row r="683">
      <c r="A683" s="42"/>
      <c r="D683" s="43"/>
    </row>
    <row r="684">
      <c r="A684" s="42"/>
      <c r="D684" s="43"/>
    </row>
    <row r="685">
      <c r="A685" s="42"/>
      <c r="D685" s="43"/>
    </row>
    <row r="686">
      <c r="A686" s="42"/>
      <c r="D686" s="43"/>
    </row>
    <row r="687">
      <c r="A687" s="42"/>
      <c r="D687" s="43"/>
    </row>
    <row r="688">
      <c r="A688" s="42"/>
      <c r="D688" s="43"/>
    </row>
    <row r="689">
      <c r="A689" s="42"/>
      <c r="D689" s="43"/>
    </row>
    <row r="690">
      <c r="A690" s="42"/>
      <c r="D690" s="43"/>
    </row>
    <row r="691">
      <c r="A691" s="42"/>
      <c r="D691" s="43"/>
    </row>
    <row r="692">
      <c r="A692" s="42"/>
      <c r="D692" s="43"/>
    </row>
    <row r="693">
      <c r="A693" s="42"/>
      <c r="D693" s="43"/>
    </row>
    <row r="694">
      <c r="A694" s="42"/>
      <c r="D694" s="43"/>
    </row>
    <row r="695">
      <c r="A695" s="42"/>
      <c r="D695" s="43"/>
    </row>
    <row r="696">
      <c r="A696" s="42"/>
      <c r="D696" s="43"/>
    </row>
    <row r="697">
      <c r="A697" s="42"/>
      <c r="D697" s="43"/>
    </row>
    <row r="698">
      <c r="A698" s="42"/>
      <c r="D698" s="43"/>
    </row>
    <row r="699">
      <c r="A699" s="42"/>
      <c r="D699" s="43"/>
    </row>
    <row r="700">
      <c r="A700" s="42"/>
      <c r="D700" s="43"/>
    </row>
    <row r="701">
      <c r="A701" s="42"/>
      <c r="D701" s="43"/>
    </row>
    <row r="702">
      <c r="A702" s="42"/>
      <c r="D702" s="43"/>
    </row>
    <row r="703">
      <c r="A703" s="42"/>
      <c r="D703" s="43"/>
    </row>
    <row r="704">
      <c r="A704" s="42"/>
      <c r="D704" s="43"/>
    </row>
    <row r="705">
      <c r="A705" s="42"/>
      <c r="D705" s="43"/>
    </row>
    <row r="706">
      <c r="A706" s="42"/>
      <c r="D706" s="43"/>
    </row>
    <row r="707">
      <c r="A707" s="42"/>
      <c r="D707" s="43"/>
    </row>
    <row r="708">
      <c r="A708" s="42"/>
      <c r="D708" s="43"/>
    </row>
    <row r="709">
      <c r="A709" s="42"/>
      <c r="D709" s="43"/>
    </row>
    <row r="710">
      <c r="A710" s="42"/>
      <c r="D710" s="43"/>
    </row>
    <row r="711">
      <c r="A711" s="42"/>
      <c r="D711" s="43"/>
    </row>
    <row r="712">
      <c r="A712" s="42"/>
      <c r="D712" s="43"/>
    </row>
    <row r="713">
      <c r="A713" s="42"/>
      <c r="D713" s="43"/>
    </row>
    <row r="714">
      <c r="A714" s="42"/>
      <c r="D714" s="43"/>
    </row>
    <row r="715">
      <c r="A715" s="42"/>
      <c r="D715" s="43"/>
    </row>
    <row r="716">
      <c r="A716" s="42"/>
      <c r="D716" s="43"/>
    </row>
    <row r="717">
      <c r="A717" s="42"/>
      <c r="D717" s="43"/>
    </row>
    <row r="718">
      <c r="A718" s="42"/>
      <c r="D718" s="43"/>
    </row>
    <row r="719">
      <c r="A719" s="42"/>
      <c r="D719" s="43"/>
    </row>
    <row r="720">
      <c r="A720" s="42"/>
      <c r="D720" s="43"/>
    </row>
    <row r="721">
      <c r="A721" s="42"/>
      <c r="D721" s="43"/>
    </row>
    <row r="722">
      <c r="A722" s="42"/>
      <c r="D722" s="43"/>
    </row>
    <row r="723">
      <c r="A723" s="42"/>
      <c r="D723" s="43"/>
    </row>
    <row r="724">
      <c r="A724" s="42"/>
      <c r="D724" s="43"/>
    </row>
    <row r="725">
      <c r="A725" s="42"/>
      <c r="D725" s="43"/>
    </row>
    <row r="726">
      <c r="A726" s="42"/>
      <c r="D726" s="43"/>
    </row>
    <row r="727">
      <c r="A727" s="42"/>
      <c r="D727" s="43"/>
    </row>
    <row r="728">
      <c r="A728" s="42"/>
      <c r="D728" s="43"/>
    </row>
    <row r="729">
      <c r="A729" s="42"/>
      <c r="D729" s="43"/>
    </row>
    <row r="730">
      <c r="A730" s="42"/>
      <c r="D730" s="43"/>
    </row>
    <row r="731">
      <c r="A731" s="42"/>
      <c r="D731" s="43"/>
    </row>
    <row r="732">
      <c r="A732" s="42"/>
      <c r="D732" s="43"/>
    </row>
    <row r="733">
      <c r="A733" s="42"/>
      <c r="D733" s="43"/>
    </row>
    <row r="734">
      <c r="A734" s="42"/>
      <c r="D734" s="43"/>
    </row>
    <row r="735">
      <c r="A735" s="42"/>
      <c r="D735" s="43"/>
    </row>
    <row r="736">
      <c r="A736" s="42"/>
      <c r="D736" s="43"/>
    </row>
    <row r="737">
      <c r="A737" s="42"/>
      <c r="D737" s="43"/>
    </row>
    <row r="738">
      <c r="A738" s="42"/>
      <c r="D738" s="43"/>
    </row>
    <row r="739">
      <c r="A739" s="42"/>
      <c r="D739" s="43"/>
    </row>
    <row r="740">
      <c r="A740" s="42"/>
      <c r="D740" s="43"/>
    </row>
    <row r="741">
      <c r="A741" s="42"/>
      <c r="D741" s="43"/>
    </row>
    <row r="742">
      <c r="A742" s="42"/>
      <c r="D742" s="43"/>
    </row>
    <row r="743">
      <c r="A743" s="42"/>
      <c r="D743" s="43"/>
    </row>
    <row r="744">
      <c r="A744" s="42"/>
      <c r="D744" s="43"/>
    </row>
    <row r="745">
      <c r="A745" s="42"/>
      <c r="D745" s="43"/>
    </row>
    <row r="746">
      <c r="A746" s="42"/>
      <c r="D746" s="43"/>
    </row>
    <row r="747">
      <c r="A747" s="42"/>
      <c r="D747" s="43"/>
    </row>
    <row r="748">
      <c r="A748" s="42"/>
      <c r="D748" s="43"/>
    </row>
    <row r="749">
      <c r="A749" s="42"/>
      <c r="D749" s="43"/>
    </row>
    <row r="750">
      <c r="A750" s="42"/>
      <c r="D750" s="43"/>
    </row>
    <row r="751">
      <c r="A751" s="42"/>
      <c r="D751" s="43"/>
    </row>
    <row r="752">
      <c r="A752" s="42"/>
      <c r="D752" s="43"/>
    </row>
    <row r="753">
      <c r="A753" s="42"/>
      <c r="D753" s="43"/>
    </row>
    <row r="754">
      <c r="A754" s="42"/>
      <c r="D754" s="43"/>
    </row>
    <row r="755">
      <c r="A755" s="42"/>
      <c r="D755" s="43"/>
    </row>
    <row r="756">
      <c r="A756" s="42"/>
      <c r="D756" s="43"/>
    </row>
    <row r="757">
      <c r="A757" s="42"/>
      <c r="D757" s="43"/>
    </row>
    <row r="758">
      <c r="A758" s="42"/>
      <c r="D758" s="43"/>
    </row>
    <row r="759">
      <c r="A759" s="42"/>
      <c r="D759" s="43"/>
    </row>
    <row r="760">
      <c r="A760" s="42"/>
      <c r="D760" s="43"/>
    </row>
    <row r="761">
      <c r="A761" s="42"/>
      <c r="D761" s="43"/>
    </row>
    <row r="762">
      <c r="A762" s="42"/>
      <c r="D762" s="43"/>
    </row>
    <row r="763">
      <c r="A763" s="42"/>
      <c r="D763" s="43"/>
    </row>
    <row r="764">
      <c r="A764" s="42"/>
      <c r="D764" s="43"/>
    </row>
    <row r="765">
      <c r="A765" s="42"/>
      <c r="D765" s="43"/>
    </row>
    <row r="766">
      <c r="A766" s="42"/>
      <c r="D766" s="43"/>
    </row>
    <row r="767">
      <c r="A767" s="42"/>
      <c r="D767" s="43"/>
    </row>
    <row r="768">
      <c r="A768" s="42"/>
      <c r="D768" s="43"/>
    </row>
    <row r="769">
      <c r="A769" s="42"/>
      <c r="D769" s="43"/>
    </row>
    <row r="770">
      <c r="A770" s="42"/>
      <c r="D770" s="43"/>
    </row>
    <row r="771">
      <c r="A771" s="42"/>
      <c r="D771" s="43"/>
    </row>
    <row r="772">
      <c r="A772" s="42"/>
      <c r="D772" s="43"/>
    </row>
    <row r="773">
      <c r="A773" s="42"/>
      <c r="D773" s="43"/>
    </row>
    <row r="774">
      <c r="A774" s="42"/>
      <c r="D774" s="43"/>
    </row>
    <row r="775">
      <c r="A775" s="42"/>
      <c r="D775" s="43"/>
    </row>
    <row r="776">
      <c r="A776" s="42"/>
      <c r="D776" s="43"/>
    </row>
    <row r="777">
      <c r="A777" s="42"/>
      <c r="D777" s="43"/>
    </row>
    <row r="778">
      <c r="A778" s="42"/>
      <c r="D778" s="43"/>
    </row>
    <row r="779">
      <c r="A779" s="42"/>
      <c r="D779" s="43"/>
    </row>
    <row r="780">
      <c r="A780" s="42"/>
      <c r="D780" s="43"/>
    </row>
    <row r="781">
      <c r="A781" s="42"/>
      <c r="D781" s="43"/>
    </row>
    <row r="782">
      <c r="A782" s="42"/>
      <c r="D782" s="43"/>
    </row>
    <row r="783">
      <c r="A783" s="42"/>
      <c r="D783" s="43"/>
    </row>
    <row r="784">
      <c r="A784" s="42"/>
      <c r="D784" s="43"/>
    </row>
    <row r="785">
      <c r="A785" s="42"/>
      <c r="D785" s="43"/>
    </row>
    <row r="786">
      <c r="A786" s="42"/>
      <c r="D786" s="43"/>
    </row>
    <row r="787">
      <c r="A787" s="42"/>
      <c r="D787" s="43"/>
    </row>
    <row r="788">
      <c r="A788" s="42"/>
      <c r="D788" s="43"/>
    </row>
    <row r="789">
      <c r="A789" s="42"/>
      <c r="D789" s="43"/>
    </row>
    <row r="790">
      <c r="A790" s="42"/>
      <c r="D790" s="43"/>
    </row>
    <row r="791">
      <c r="A791" s="42"/>
      <c r="D791" s="43"/>
    </row>
    <row r="792">
      <c r="A792" s="42"/>
      <c r="D792" s="43"/>
    </row>
    <row r="793">
      <c r="A793" s="42"/>
      <c r="D793" s="43"/>
    </row>
    <row r="794">
      <c r="A794" s="42"/>
      <c r="D794" s="43"/>
    </row>
    <row r="795">
      <c r="A795" s="42"/>
      <c r="D795" s="43"/>
    </row>
    <row r="796">
      <c r="A796" s="42"/>
      <c r="D796" s="43"/>
    </row>
    <row r="797">
      <c r="A797" s="42"/>
      <c r="D797" s="43"/>
    </row>
    <row r="798">
      <c r="A798" s="42"/>
      <c r="D798" s="43"/>
    </row>
    <row r="799">
      <c r="A799" s="42"/>
      <c r="D799" s="43"/>
    </row>
    <row r="800">
      <c r="A800" s="42"/>
      <c r="D800" s="43"/>
    </row>
    <row r="801">
      <c r="A801" s="42"/>
      <c r="D801" s="43"/>
    </row>
    <row r="802">
      <c r="A802" s="42"/>
      <c r="D802" s="43"/>
    </row>
    <row r="803">
      <c r="A803" s="42"/>
      <c r="D803" s="43"/>
    </row>
    <row r="804">
      <c r="A804" s="42"/>
      <c r="D804" s="43"/>
    </row>
    <row r="805">
      <c r="A805" s="42"/>
      <c r="D805" s="43"/>
    </row>
    <row r="806">
      <c r="A806" s="42"/>
      <c r="D806" s="43"/>
    </row>
    <row r="807">
      <c r="A807" s="42"/>
      <c r="D807" s="43"/>
    </row>
    <row r="808">
      <c r="A808" s="42"/>
      <c r="D808" s="43"/>
    </row>
    <row r="809">
      <c r="A809" s="42"/>
      <c r="D809" s="43"/>
    </row>
    <row r="810">
      <c r="A810" s="42"/>
      <c r="D810" s="43"/>
    </row>
    <row r="811">
      <c r="A811" s="42"/>
      <c r="D811" s="43"/>
    </row>
    <row r="812">
      <c r="A812" s="42"/>
      <c r="D812" s="43"/>
    </row>
    <row r="813">
      <c r="A813" s="42"/>
      <c r="D813" s="43"/>
    </row>
    <row r="814">
      <c r="A814" s="42"/>
      <c r="D814" s="43"/>
    </row>
    <row r="815">
      <c r="A815" s="42"/>
      <c r="D815" s="43"/>
    </row>
    <row r="816">
      <c r="A816" s="42"/>
      <c r="D816" s="43"/>
    </row>
    <row r="817">
      <c r="A817" s="42"/>
      <c r="D817" s="43"/>
    </row>
    <row r="818">
      <c r="A818" s="42"/>
      <c r="D818" s="43"/>
    </row>
    <row r="819">
      <c r="A819" s="42"/>
      <c r="D819" s="43"/>
    </row>
    <row r="820">
      <c r="A820" s="42"/>
      <c r="D820" s="43"/>
    </row>
    <row r="821">
      <c r="A821" s="42"/>
      <c r="D821" s="43"/>
    </row>
    <row r="822">
      <c r="A822" s="42"/>
      <c r="D822" s="43"/>
    </row>
    <row r="823">
      <c r="A823" s="42"/>
      <c r="D823" s="43"/>
    </row>
    <row r="824">
      <c r="A824" s="42"/>
      <c r="D824" s="43"/>
    </row>
    <row r="825">
      <c r="A825" s="42"/>
      <c r="D825" s="43"/>
    </row>
    <row r="826">
      <c r="A826" s="42"/>
      <c r="D826" s="43"/>
    </row>
    <row r="827">
      <c r="A827" s="42"/>
      <c r="D827" s="43"/>
    </row>
    <row r="828">
      <c r="A828" s="42"/>
      <c r="D828" s="43"/>
    </row>
    <row r="829">
      <c r="A829" s="42"/>
      <c r="D829" s="43"/>
    </row>
    <row r="830">
      <c r="A830" s="42"/>
      <c r="D830" s="43"/>
    </row>
    <row r="831">
      <c r="A831" s="42"/>
      <c r="D831" s="43"/>
    </row>
    <row r="832">
      <c r="A832" s="42"/>
      <c r="D832" s="43"/>
    </row>
    <row r="833">
      <c r="A833" s="42"/>
      <c r="D833" s="43"/>
    </row>
    <row r="834">
      <c r="A834" s="42"/>
      <c r="D834" s="43"/>
    </row>
    <row r="835">
      <c r="A835" s="42"/>
      <c r="D835" s="43"/>
    </row>
    <row r="836">
      <c r="A836" s="42"/>
      <c r="D836" s="43"/>
    </row>
    <row r="837">
      <c r="A837" s="42"/>
      <c r="D837" s="43"/>
    </row>
    <row r="838">
      <c r="A838" s="42"/>
      <c r="D838" s="43"/>
    </row>
    <row r="839">
      <c r="A839" s="42"/>
      <c r="D839" s="43"/>
    </row>
    <row r="840">
      <c r="A840" s="42"/>
      <c r="D840" s="43"/>
    </row>
    <row r="841">
      <c r="A841" s="42"/>
      <c r="D841" s="43"/>
    </row>
    <row r="842">
      <c r="A842" s="42"/>
      <c r="D842" s="43"/>
    </row>
    <row r="843">
      <c r="A843" s="42"/>
      <c r="D843" s="43"/>
    </row>
    <row r="844">
      <c r="A844" s="42"/>
      <c r="D844" s="43"/>
    </row>
    <row r="845">
      <c r="A845" s="42"/>
      <c r="D845" s="43"/>
    </row>
    <row r="846">
      <c r="A846" s="42"/>
      <c r="D846" s="43"/>
    </row>
    <row r="847">
      <c r="A847" s="42"/>
      <c r="D847" s="43"/>
    </row>
    <row r="848">
      <c r="A848" s="42"/>
      <c r="D848" s="43"/>
    </row>
    <row r="849">
      <c r="A849" s="42"/>
      <c r="D849" s="43"/>
    </row>
    <row r="850">
      <c r="A850" s="42"/>
      <c r="D850" s="43"/>
    </row>
    <row r="851">
      <c r="A851" s="42"/>
      <c r="D851" s="43"/>
    </row>
    <row r="852">
      <c r="A852" s="42"/>
      <c r="D852" s="43"/>
    </row>
    <row r="853">
      <c r="A853" s="42"/>
      <c r="D853" s="43"/>
    </row>
    <row r="854">
      <c r="A854" s="42"/>
      <c r="D854" s="43"/>
    </row>
    <row r="855">
      <c r="A855" s="42"/>
      <c r="D855" s="43"/>
    </row>
    <row r="856">
      <c r="A856" s="42"/>
      <c r="D856" s="43"/>
    </row>
    <row r="857">
      <c r="A857" s="42"/>
      <c r="D857" s="43"/>
    </row>
    <row r="858">
      <c r="A858" s="42"/>
      <c r="D858" s="43"/>
    </row>
    <row r="859">
      <c r="A859" s="42"/>
      <c r="D859" s="43"/>
    </row>
    <row r="860">
      <c r="A860" s="42"/>
      <c r="D860" s="43"/>
    </row>
    <row r="861">
      <c r="A861" s="42"/>
      <c r="D861" s="43"/>
    </row>
    <row r="862">
      <c r="A862" s="42"/>
      <c r="D862" s="43"/>
    </row>
    <row r="863">
      <c r="A863" s="42"/>
      <c r="D863" s="43"/>
    </row>
    <row r="864">
      <c r="A864" s="42"/>
      <c r="D864" s="43"/>
    </row>
    <row r="865">
      <c r="A865" s="42"/>
      <c r="D865" s="43"/>
    </row>
    <row r="866">
      <c r="A866" s="42"/>
      <c r="D866" s="43"/>
    </row>
    <row r="867">
      <c r="A867" s="42"/>
      <c r="D867" s="43"/>
    </row>
    <row r="868">
      <c r="A868" s="42"/>
      <c r="D868" s="43"/>
    </row>
    <row r="869">
      <c r="A869" s="42"/>
      <c r="D869" s="43"/>
    </row>
    <row r="870">
      <c r="A870" s="42"/>
      <c r="D870" s="43"/>
    </row>
    <row r="871">
      <c r="A871" s="42"/>
      <c r="D871" s="43"/>
    </row>
    <row r="872">
      <c r="A872" s="42"/>
      <c r="D872" s="43"/>
    </row>
    <row r="873">
      <c r="A873" s="42"/>
      <c r="D873" s="43"/>
    </row>
    <row r="874">
      <c r="A874" s="42"/>
      <c r="D874" s="43"/>
    </row>
    <row r="875">
      <c r="A875" s="42"/>
      <c r="D875" s="43"/>
    </row>
    <row r="876">
      <c r="A876" s="42"/>
      <c r="D876" s="43"/>
    </row>
    <row r="877">
      <c r="A877" s="42"/>
      <c r="D877" s="43"/>
    </row>
    <row r="878">
      <c r="A878" s="42"/>
      <c r="D878" s="43"/>
    </row>
    <row r="879">
      <c r="A879" s="42"/>
      <c r="D879" s="43"/>
    </row>
    <row r="880">
      <c r="A880" s="42"/>
      <c r="D880" s="43"/>
    </row>
    <row r="881">
      <c r="A881" s="42"/>
      <c r="D881" s="43"/>
    </row>
    <row r="882">
      <c r="A882" s="42"/>
      <c r="D882" s="43"/>
    </row>
    <row r="883">
      <c r="A883" s="42"/>
      <c r="D883" s="43"/>
    </row>
    <row r="884">
      <c r="A884" s="42"/>
      <c r="D884" s="43"/>
    </row>
    <row r="885">
      <c r="A885" s="42"/>
      <c r="D885" s="43"/>
    </row>
    <row r="886">
      <c r="A886" s="42"/>
      <c r="D886" s="43"/>
    </row>
    <row r="887">
      <c r="A887" s="42"/>
      <c r="D887" s="43"/>
    </row>
    <row r="888">
      <c r="A888" s="42"/>
      <c r="D888" s="43"/>
    </row>
    <row r="889">
      <c r="A889" s="42"/>
      <c r="D889" s="43"/>
    </row>
    <row r="890">
      <c r="A890" s="42"/>
      <c r="D890" s="43"/>
    </row>
    <row r="891">
      <c r="A891" s="42"/>
      <c r="D891" s="43"/>
    </row>
    <row r="892">
      <c r="A892" s="42"/>
      <c r="D892" s="43"/>
    </row>
    <row r="893">
      <c r="A893" s="42"/>
      <c r="D893" s="43"/>
    </row>
    <row r="894">
      <c r="A894" s="42"/>
      <c r="D894" s="43"/>
    </row>
    <row r="895">
      <c r="A895" s="42"/>
      <c r="D895" s="43"/>
    </row>
    <row r="896">
      <c r="A896" s="42"/>
      <c r="D896" s="43"/>
    </row>
    <row r="897">
      <c r="A897" s="42"/>
      <c r="D897" s="43"/>
    </row>
    <row r="898">
      <c r="A898" s="42"/>
      <c r="D898" s="43"/>
    </row>
    <row r="899">
      <c r="A899" s="42"/>
      <c r="D899" s="43"/>
    </row>
    <row r="900">
      <c r="A900" s="42"/>
      <c r="D900" s="43"/>
    </row>
    <row r="901">
      <c r="A901" s="42"/>
      <c r="D901" s="43"/>
    </row>
    <row r="902">
      <c r="A902" s="42"/>
      <c r="D902" s="43"/>
    </row>
    <row r="903">
      <c r="A903" s="42"/>
      <c r="D903" s="43"/>
    </row>
    <row r="904">
      <c r="A904" s="42"/>
      <c r="D904" s="43"/>
    </row>
    <row r="905">
      <c r="A905" s="42"/>
      <c r="D905" s="43"/>
    </row>
    <row r="906">
      <c r="A906" s="42"/>
      <c r="D906" s="43"/>
    </row>
    <row r="907">
      <c r="A907" s="42"/>
      <c r="D907" s="43"/>
    </row>
    <row r="908">
      <c r="A908" s="42"/>
      <c r="D908" s="43"/>
    </row>
    <row r="909">
      <c r="A909" s="42"/>
      <c r="D909" s="43"/>
    </row>
    <row r="910">
      <c r="A910" s="42"/>
      <c r="D910" s="43"/>
    </row>
    <row r="911">
      <c r="A911" s="42"/>
      <c r="D911" s="43"/>
    </row>
    <row r="912">
      <c r="A912" s="42"/>
      <c r="D912" s="43"/>
    </row>
    <row r="913">
      <c r="A913" s="42"/>
      <c r="D913" s="43"/>
    </row>
    <row r="914">
      <c r="A914" s="42"/>
      <c r="D914" s="43"/>
    </row>
    <row r="915">
      <c r="A915" s="42"/>
      <c r="D915" s="43"/>
    </row>
    <row r="916">
      <c r="A916" s="42"/>
      <c r="D916" s="43"/>
    </row>
    <row r="917">
      <c r="A917" s="42"/>
      <c r="D917" s="43"/>
    </row>
    <row r="918">
      <c r="A918" s="42"/>
      <c r="D918" s="43"/>
    </row>
    <row r="919">
      <c r="A919" s="42"/>
      <c r="D919" s="43"/>
    </row>
    <row r="920">
      <c r="A920" s="42"/>
      <c r="D920" s="43"/>
    </row>
    <row r="921">
      <c r="A921" s="42"/>
      <c r="D921" s="43"/>
    </row>
    <row r="922">
      <c r="A922" s="42"/>
      <c r="D922" s="43"/>
    </row>
    <row r="923">
      <c r="A923" s="42"/>
      <c r="D923" s="43"/>
    </row>
    <row r="924">
      <c r="A924" s="42"/>
      <c r="D924" s="43"/>
    </row>
    <row r="925">
      <c r="A925" s="42"/>
      <c r="D925" s="43"/>
    </row>
    <row r="926">
      <c r="A926" s="42"/>
      <c r="D926" s="43"/>
    </row>
    <row r="927">
      <c r="A927" s="42"/>
      <c r="D927" s="43"/>
    </row>
    <row r="928">
      <c r="A928" s="42"/>
      <c r="D928" s="43"/>
    </row>
    <row r="929">
      <c r="A929" s="42"/>
      <c r="D929" s="43"/>
    </row>
    <row r="930">
      <c r="A930" s="42"/>
      <c r="D930" s="43"/>
    </row>
    <row r="931">
      <c r="A931" s="42"/>
      <c r="D931" s="43"/>
    </row>
    <row r="932">
      <c r="A932" s="42"/>
      <c r="D932" s="43"/>
    </row>
    <row r="933">
      <c r="A933" s="42"/>
      <c r="D933" s="43"/>
    </row>
    <row r="934">
      <c r="A934" s="42"/>
      <c r="D934" s="43"/>
    </row>
    <row r="935">
      <c r="A935" s="42"/>
      <c r="D935" s="43"/>
    </row>
    <row r="936">
      <c r="A936" s="42"/>
      <c r="D936" s="43"/>
    </row>
    <row r="937">
      <c r="A937" s="42"/>
      <c r="D937" s="43"/>
    </row>
    <row r="938">
      <c r="A938" s="42"/>
      <c r="D938" s="43"/>
    </row>
    <row r="939">
      <c r="A939" s="42"/>
      <c r="D939" s="43"/>
    </row>
    <row r="940">
      <c r="A940" s="42"/>
      <c r="D940" s="43"/>
    </row>
    <row r="941">
      <c r="A941" s="42"/>
      <c r="D941" s="43"/>
    </row>
    <row r="942">
      <c r="A942" s="42"/>
      <c r="D942" s="43"/>
    </row>
    <row r="943">
      <c r="A943" s="42"/>
      <c r="D943" s="43"/>
    </row>
    <row r="944">
      <c r="A944" s="42"/>
      <c r="D944" s="43"/>
    </row>
    <row r="945">
      <c r="A945" s="42"/>
      <c r="D945" s="43"/>
    </row>
    <row r="946">
      <c r="A946" s="42"/>
      <c r="D946" s="43"/>
    </row>
    <row r="947">
      <c r="A947" s="42"/>
      <c r="D947" s="43"/>
    </row>
    <row r="948">
      <c r="A948" s="42"/>
      <c r="D948" s="43"/>
    </row>
    <row r="949">
      <c r="A949" s="42"/>
      <c r="D949" s="43"/>
    </row>
    <row r="950">
      <c r="A950" s="42"/>
      <c r="D950" s="43"/>
    </row>
    <row r="951">
      <c r="A951" s="42"/>
      <c r="D951" s="43"/>
    </row>
    <row r="952">
      <c r="A952" s="42"/>
      <c r="D952" s="43"/>
    </row>
    <row r="953">
      <c r="A953" s="42"/>
      <c r="D953" s="43"/>
    </row>
    <row r="954">
      <c r="A954" s="42"/>
      <c r="D954" s="43"/>
    </row>
    <row r="955">
      <c r="A955" s="42"/>
      <c r="D955" s="43"/>
    </row>
    <row r="956">
      <c r="A956" s="42"/>
      <c r="D956" s="43"/>
    </row>
    <row r="957">
      <c r="A957" s="42"/>
      <c r="D957" s="43"/>
    </row>
    <row r="958">
      <c r="A958" s="42"/>
      <c r="D958" s="43"/>
    </row>
    <row r="959">
      <c r="A959" s="42"/>
      <c r="D959" s="43"/>
    </row>
    <row r="960">
      <c r="A960" s="42"/>
      <c r="D960" s="43"/>
    </row>
    <row r="961">
      <c r="A961" s="42"/>
      <c r="D961" s="43"/>
    </row>
    <row r="962">
      <c r="A962" s="42"/>
      <c r="D962" s="43"/>
    </row>
    <row r="963">
      <c r="A963" s="42"/>
      <c r="D963" s="43"/>
    </row>
    <row r="964">
      <c r="A964" s="42"/>
      <c r="D964" s="43"/>
    </row>
    <row r="965">
      <c r="A965" s="42"/>
      <c r="D965" s="43"/>
    </row>
    <row r="966">
      <c r="A966" s="42"/>
      <c r="D966" s="43"/>
    </row>
    <row r="967">
      <c r="A967" s="42"/>
      <c r="D967" s="43"/>
    </row>
    <row r="968">
      <c r="A968" s="42"/>
      <c r="D968" s="43"/>
    </row>
    <row r="969">
      <c r="A969" s="42"/>
      <c r="D969" s="43"/>
    </row>
    <row r="970">
      <c r="A970" s="42"/>
      <c r="D970" s="43"/>
    </row>
    <row r="971">
      <c r="A971" s="42"/>
      <c r="D971" s="43"/>
    </row>
    <row r="972">
      <c r="A972" s="42"/>
      <c r="D972" s="43"/>
    </row>
    <row r="973">
      <c r="A973" s="42"/>
      <c r="D973" s="43"/>
    </row>
    <row r="974">
      <c r="A974" s="42"/>
      <c r="D974" s="43"/>
    </row>
    <row r="975">
      <c r="A975" s="42"/>
      <c r="D975" s="43"/>
    </row>
    <row r="976">
      <c r="A976" s="42"/>
      <c r="D976" s="43"/>
    </row>
    <row r="977">
      <c r="A977" s="42"/>
      <c r="D977" s="43"/>
    </row>
    <row r="978">
      <c r="A978" s="42"/>
      <c r="D978" s="43"/>
    </row>
    <row r="979">
      <c r="A979" s="42"/>
      <c r="D979" s="43"/>
    </row>
    <row r="980">
      <c r="A980" s="42"/>
      <c r="D980" s="43"/>
    </row>
    <row r="981">
      <c r="A981" s="42"/>
      <c r="D981" s="43"/>
    </row>
    <row r="982">
      <c r="A982" s="42"/>
      <c r="D982" s="43"/>
    </row>
    <row r="983">
      <c r="A983" s="42"/>
      <c r="D983" s="43"/>
    </row>
    <row r="984">
      <c r="A984" s="42"/>
      <c r="D984" s="43"/>
    </row>
    <row r="985">
      <c r="A985" s="42"/>
      <c r="D985" s="43"/>
    </row>
    <row r="986">
      <c r="A986" s="42"/>
      <c r="D986" s="43"/>
    </row>
    <row r="987">
      <c r="A987" s="42"/>
      <c r="D987" s="43"/>
    </row>
    <row r="988">
      <c r="A988" s="42"/>
      <c r="D988" s="43"/>
    </row>
    <row r="989">
      <c r="A989" s="42"/>
      <c r="D989" s="43"/>
    </row>
    <row r="990">
      <c r="A990" s="42"/>
      <c r="D990" s="43"/>
    </row>
    <row r="991">
      <c r="A991" s="42"/>
      <c r="D991" s="43"/>
    </row>
    <row r="992">
      <c r="A992" s="42"/>
      <c r="D992" s="43"/>
    </row>
    <row r="993">
      <c r="A993" s="42"/>
      <c r="D993" s="43"/>
    </row>
    <row r="994">
      <c r="A994" s="42"/>
      <c r="D994" s="43"/>
    </row>
    <row r="995">
      <c r="A995" s="42"/>
      <c r="D995" s="43"/>
    </row>
    <row r="996">
      <c r="A996" s="42"/>
      <c r="D996" s="43"/>
    </row>
    <row r="997">
      <c r="A997" s="42"/>
      <c r="D997" s="43"/>
    </row>
  </sheetData>
  <autoFilter ref="$A$1:$D$517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4" t="s">
        <v>831</v>
      </c>
      <c r="B1" s="45" t="s">
        <v>832</v>
      </c>
      <c r="C1" s="46" t="s">
        <v>833</v>
      </c>
      <c r="D1" s="47" t="s">
        <v>834</v>
      </c>
      <c r="E1" s="48" t="s">
        <v>835</v>
      </c>
    </row>
    <row r="2">
      <c r="A2" s="44" t="s">
        <v>836</v>
      </c>
      <c r="B2" s="45" t="s">
        <v>837</v>
      </c>
      <c r="C2" s="46">
        <v>15000.0</v>
      </c>
      <c r="D2" s="47">
        <v>25.0</v>
      </c>
      <c r="E2" s="49">
        <v>6.103234124E10</v>
      </c>
    </row>
    <row r="3">
      <c r="A3" s="44" t="s">
        <v>838</v>
      </c>
      <c r="B3" s="45" t="s">
        <v>839</v>
      </c>
      <c r="C3" s="46" t="s">
        <v>839</v>
      </c>
      <c r="D3" s="47" t="s">
        <v>839</v>
      </c>
      <c r="E3" s="49" t="s">
        <v>839</v>
      </c>
    </row>
    <row r="4">
      <c r="A4" s="44" t="s">
        <v>840</v>
      </c>
      <c r="B4" s="45" t="s">
        <v>841</v>
      </c>
      <c r="C4" s="46">
        <v>15000.0</v>
      </c>
      <c r="D4" s="47">
        <v>25.0</v>
      </c>
      <c r="E4" s="49">
        <v>6.1175275979E10</v>
      </c>
    </row>
    <row r="5">
      <c r="A5" s="44" t="s">
        <v>842</v>
      </c>
      <c r="B5" s="45">
        <v>46178.0</v>
      </c>
      <c r="C5" s="46">
        <v>15500.0</v>
      </c>
      <c r="D5" s="47">
        <v>25.0</v>
      </c>
      <c r="E5" s="49">
        <v>6.1263587001E10</v>
      </c>
    </row>
    <row r="6">
      <c r="A6" s="44" t="s">
        <v>843</v>
      </c>
      <c r="B6" s="44" t="s">
        <v>844</v>
      </c>
      <c r="C6" s="46">
        <v>19500.0</v>
      </c>
      <c r="D6" s="47">
        <v>30.0</v>
      </c>
    </row>
    <row r="7">
      <c r="A7" s="44" t="s">
        <v>845</v>
      </c>
      <c r="B7" s="44" t="s">
        <v>846</v>
      </c>
      <c r="C7" s="46">
        <v>21000.0</v>
      </c>
      <c r="D7" s="47">
        <v>30.0</v>
      </c>
    </row>
    <row r="8">
      <c r="A8" s="44" t="s">
        <v>847</v>
      </c>
      <c r="B8" s="45"/>
      <c r="C8" s="46"/>
      <c r="D8" s="47"/>
    </row>
    <row r="9">
      <c r="A9" s="44" t="s">
        <v>848</v>
      </c>
      <c r="B9" s="45"/>
      <c r="C9" s="46"/>
      <c r="D9" s="47"/>
    </row>
    <row r="10">
      <c r="A10" s="44"/>
      <c r="B10" s="45"/>
      <c r="C10" s="46"/>
      <c r="D10" s="47"/>
    </row>
    <row r="11">
      <c r="A11" s="44"/>
      <c r="B11" s="45"/>
      <c r="C11" s="46"/>
      <c r="D11" s="47"/>
    </row>
    <row r="12">
      <c r="A12" s="44"/>
      <c r="B12" s="45"/>
      <c r="C12" s="46"/>
      <c r="D12" s="47"/>
    </row>
    <row r="13">
      <c r="A13" s="44"/>
      <c r="B13" s="45"/>
      <c r="C13" s="46"/>
      <c r="D13" s="47"/>
    </row>
    <row r="14">
      <c r="A14" s="44"/>
      <c r="B14" s="45"/>
      <c r="C14" s="46"/>
      <c r="D14" s="47"/>
    </row>
    <row r="15">
      <c r="A15" s="44"/>
      <c r="B15" s="45"/>
      <c r="C15" s="46"/>
      <c r="D15" s="47"/>
    </row>
    <row r="16">
      <c r="A16" s="44"/>
      <c r="B16" s="45"/>
      <c r="C16" s="46"/>
      <c r="D16" s="47"/>
    </row>
    <row r="17">
      <c r="A17" s="44"/>
      <c r="B17" s="45"/>
      <c r="C17" s="46"/>
      <c r="D17" s="47"/>
    </row>
    <row r="18">
      <c r="A18" s="44"/>
      <c r="B18" s="45"/>
      <c r="C18" s="46"/>
      <c r="D18" s="47"/>
    </row>
    <row r="19">
      <c r="A19" s="44"/>
      <c r="B19" s="45"/>
      <c r="C19" s="46"/>
      <c r="D19" s="47"/>
    </row>
    <row r="20">
      <c r="A20" s="44"/>
      <c r="B20" s="45"/>
      <c r="C20" s="46"/>
      <c r="D20" s="47"/>
    </row>
    <row r="21">
      <c r="A21" s="44"/>
      <c r="B21" s="45"/>
      <c r="C21" s="46"/>
      <c r="D21" s="47"/>
    </row>
    <row r="22">
      <c r="A22" s="44"/>
      <c r="B22" s="45"/>
      <c r="C22" s="46"/>
      <c r="D22" s="47"/>
    </row>
    <row r="23">
      <c r="A23" s="44"/>
      <c r="B23" s="45"/>
      <c r="C23" s="46"/>
      <c r="D23" s="47"/>
    </row>
    <row r="24">
      <c r="A24" s="44"/>
      <c r="B24" s="45"/>
      <c r="C24" s="46"/>
      <c r="D24" s="47"/>
    </row>
    <row r="25">
      <c r="A25" s="44"/>
      <c r="B25" s="45"/>
      <c r="C25" s="46"/>
      <c r="D25" s="47"/>
    </row>
    <row r="26">
      <c r="A26" s="44"/>
      <c r="B26" s="45"/>
      <c r="C26" s="46"/>
      <c r="D26" s="47"/>
    </row>
    <row r="27">
      <c r="A27" s="44"/>
      <c r="B27" s="45"/>
      <c r="C27" s="46"/>
      <c r="D27" s="47"/>
    </row>
    <row r="28">
      <c r="A28" s="44"/>
      <c r="B28" s="45"/>
      <c r="C28" s="46"/>
      <c r="D28" s="47"/>
    </row>
    <row r="29">
      <c r="A29" s="44"/>
      <c r="B29" s="45"/>
      <c r="C29" s="46"/>
      <c r="D29" s="47"/>
    </row>
    <row r="30">
      <c r="A30" s="44"/>
      <c r="B30" s="45"/>
      <c r="C30" s="46"/>
      <c r="D30" s="47"/>
    </row>
    <row r="31">
      <c r="A31" s="44"/>
      <c r="B31" s="45"/>
      <c r="C31" s="46"/>
      <c r="D31" s="47"/>
    </row>
    <row r="32">
      <c r="A32" s="44"/>
      <c r="B32" s="45"/>
      <c r="C32" s="46"/>
      <c r="D32" s="47"/>
    </row>
    <row r="33">
      <c r="A33" s="44"/>
      <c r="B33" s="45"/>
      <c r="C33" s="46"/>
      <c r="D33" s="47"/>
    </row>
    <row r="34">
      <c r="A34" s="44"/>
      <c r="B34" s="45"/>
      <c r="C34" s="46"/>
      <c r="D34" s="47"/>
    </row>
    <row r="35">
      <c r="A35" s="44"/>
      <c r="B35" s="45"/>
      <c r="C35" s="46"/>
      <c r="D35" s="47"/>
    </row>
    <row r="36">
      <c r="A36" s="44"/>
      <c r="B36" s="45"/>
      <c r="C36" s="46"/>
      <c r="D36" s="47"/>
    </row>
    <row r="37">
      <c r="A37" s="44"/>
      <c r="B37" s="45"/>
      <c r="C37" s="46"/>
      <c r="D37" s="47"/>
    </row>
    <row r="38">
      <c r="A38" s="44"/>
      <c r="B38" s="45"/>
      <c r="C38" s="46"/>
      <c r="D38" s="47"/>
    </row>
    <row r="39">
      <c r="A39" s="44"/>
      <c r="B39" s="45"/>
      <c r="C39" s="46"/>
      <c r="D39" s="47"/>
    </row>
    <row r="40">
      <c r="A40" s="44"/>
      <c r="B40" s="45"/>
      <c r="C40" s="46"/>
      <c r="D40" s="47"/>
    </row>
    <row r="41">
      <c r="A41" s="44"/>
      <c r="B41" s="45"/>
      <c r="C41" s="46"/>
      <c r="D41" s="47"/>
    </row>
    <row r="42">
      <c r="A42" s="44"/>
      <c r="B42" s="45"/>
      <c r="C42" s="46"/>
      <c r="D42" s="47"/>
    </row>
    <row r="43">
      <c r="A43" s="44"/>
      <c r="B43" s="45"/>
      <c r="C43" s="46"/>
      <c r="D43" s="47"/>
    </row>
    <row r="44">
      <c r="A44" s="44"/>
      <c r="B44" s="45"/>
      <c r="C44" s="46"/>
      <c r="D44" s="47"/>
    </row>
    <row r="45">
      <c r="A45" s="44"/>
      <c r="B45" s="45"/>
      <c r="C45" s="46"/>
      <c r="D45" s="47"/>
    </row>
    <row r="46">
      <c r="A46" s="44"/>
      <c r="B46" s="45"/>
      <c r="C46" s="46"/>
      <c r="D46" s="47"/>
    </row>
    <row r="47">
      <c r="A47" s="44"/>
      <c r="B47" s="45"/>
      <c r="C47" s="46"/>
      <c r="D47" s="47"/>
    </row>
    <row r="48">
      <c r="A48" s="44"/>
      <c r="B48" s="45"/>
      <c r="C48" s="46"/>
      <c r="D48" s="47"/>
    </row>
    <row r="49">
      <c r="A49" s="44"/>
      <c r="B49" s="45"/>
      <c r="C49" s="46"/>
      <c r="D49" s="47"/>
    </row>
    <row r="50">
      <c r="A50" s="44"/>
      <c r="B50" s="45"/>
      <c r="C50" s="46"/>
      <c r="D50" s="47"/>
    </row>
    <row r="51">
      <c r="A51" s="44"/>
      <c r="B51" s="45"/>
      <c r="C51" s="46"/>
      <c r="D51" s="47"/>
    </row>
    <row r="52">
      <c r="A52" s="44"/>
      <c r="B52" s="45"/>
      <c r="C52" s="46"/>
      <c r="D52" s="47"/>
    </row>
    <row r="53">
      <c r="A53" s="44"/>
      <c r="B53" s="45"/>
      <c r="C53" s="46"/>
      <c r="D53" s="47"/>
    </row>
    <row r="54">
      <c r="A54" s="44"/>
      <c r="B54" s="45"/>
      <c r="C54" s="46"/>
      <c r="D54" s="47"/>
    </row>
    <row r="55">
      <c r="A55" s="44"/>
      <c r="B55" s="45"/>
      <c r="C55" s="46"/>
      <c r="D55" s="47"/>
    </row>
    <row r="56">
      <c r="A56" s="44"/>
      <c r="B56" s="45"/>
      <c r="C56" s="46"/>
      <c r="D56" s="47"/>
    </row>
    <row r="57">
      <c r="A57" s="44"/>
      <c r="B57" s="45"/>
      <c r="C57" s="46"/>
      <c r="D57" s="47"/>
    </row>
    <row r="58">
      <c r="A58" s="44"/>
      <c r="B58" s="45"/>
      <c r="C58" s="46"/>
      <c r="D58" s="47"/>
    </row>
    <row r="59">
      <c r="A59" s="44"/>
      <c r="B59" s="45"/>
      <c r="C59" s="46"/>
      <c r="D59" s="47"/>
    </row>
    <row r="60">
      <c r="A60" s="44"/>
      <c r="B60" s="45"/>
      <c r="C60" s="46"/>
      <c r="D60" s="47"/>
    </row>
    <row r="61">
      <c r="A61" s="44"/>
      <c r="B61" s="45"/>
      <c r="C61" s="46"/>
      <c r="D61" s="47"/>
    </row>
    <row r="62">
      <c r="A62" s="44"/>
      <c r="B62" s="45"/>
      <c r="C62" s="46"/>
      <c r="D62" s="47"/>
    </row>
    <row r="63">
      <c r="A63" s="44"/>
      <c r="B63" s="45"/>
      <c r="C63" s="46"/>
      <c r="D63" s="47"/>
    </row>
    <row r="64">
      <c r="A64" s="44"/>
      <c r="B64" s="45"/>
      <c r="C64" s="46"/>
      <c r="D64" s="47"/>
    </row>
    <row r="65">
      <c r="A65" s="44"/>
      <c r="B65" s="45"/>
      <c r="C65" s="46"/>
      <c r="D65" s="47"/>
    </row>
    <row r="66">
      <c r="A66" s="44"/>
      <c r="B66" s="45"/>
      <c r="C66" s="46"/>
      <c r="D66" s="47"/>
    </row>
    <row r="67">
      <c r="A67" s="44"/>
      <c r="B67" s="45"/>
      <c r="C67" s="46"/>
      <c r="D67" s="47"/>
    </row>
    <row r="68">
      <c r="A68" s="44"/>
      <c r="B68" s="45"/>
      <c r="C68" s="46"/>
      <c r="D68" s="47"/>
    </row>
    <row r="69">
      <c r="A69" s="44"/>
      <c r="B69" s="45"/>
      <c r="C69" s="46"/>
      <c r="D69" s="47"/>
    </row>
    <row r="70">
      <c r="A70" s="44"/>
      <c r="B70" s="45"/>
      <c r="C70" s="46"/>
      <c r="D70" s="47"/>
    </row>
    <row r="71">
      <c r="A71" s="44"/>
      <c r="B71" s="45"/>
      <c r="C71" s="46"/>
      <c r="D71" s="47"/>
    </row>
    <row r="72">
      <c r="A72" s="44"/>
      <c r="B72" s="45"/>
      <c r="C72" s="46"/>
      <c r="D72" s="47"/>
    </row>
    <row r="73">
      <c r="A73" s="44"/>
      <c r="B73" s="45"/>
      <c r="C73" s="46"/>
      <c r="D73" s="47"/>
    </row>
    <row r="74">
      <c r="A74" s="44"/>
      <c r="B74" s="45"/>
      <c r="C74" s="46"/>
      <c r="D74" s="47"/>
    </row>
    <row r="75">
      <c r="A75" s="44"/>
      <c r="B75" s="45"/>
      <c r="C75" s="46"/>
      <c r="D75" s="47"/>
    </row>
    <row r="76">
      <c r="A76" s="44"/>
      <c r="B76" s="45"/>
      <c r="C76" s="46"/>
      <c r="D76" s="47"/>
    </row>
    <row r="77">
      <c r="A77" s="44"/>
      <c r="B77" s="45"/>
      <c r="C77" s="46"/>
      <c r="D77" s="47"/>
    </row>
    <row r="78">
      <c r="A78" s="44"/>
      <c r="B78" s="45"/>
      <c r="C78" s="46"/>
      <c r="D78" s="47"/>
    </row>
    <row r="79">
      <c r="A79" s="44"/>
      <c r="B79" s="45"/>
      <c r="C79" s="46"/>
      <c r="D79" s="47"/>
    </row>
    <row r="80">
      <c r="A80" s="44"/>
      <c r="B80" s="45"/>
      <c r="C80" s="46"/>
      <c r="D80" s="47"/>
    </row>
    <row r="81">
      <c r="A81" s="44"/>
      <c r="B81" s="45"/>
      <c r="C81" s="46"/>
      <c r="D81" s="47"/>
    </row>
    <row r="82">
      <c r="A82" s="44"/>
      <c r="B82" s="45"/>
      <c r="C82" s="46"/>
      <c r="D82" s="47"/>
    </row>
    <row r="83">
      <c r="A83" s="44"/>
      <c r="B83" s="45"/>
      <c r="C83" s="46"/>
      <c r="D83" s="47"/>
    </row>
    <row r="84">
      <c r="A84" s="44"/>
      <c r="B84" s="45"/>
      <c r="C84" s="46"/>
      <c r="D84" s="47"/>
    </row>
    <row r="85">
      <c r="A85" s="44"/>
      <c r="B85" s="45"/>
      <c r="C85" s="46"/>
      <c r="D85" s="47"/>
    </row>
    <row r="86">
      <c r="A86" s="44"/>
      <c r="B86" s="45"/>
      <c r="C86" s="46"/>
      <c r="D86" s="47"/>
    </row>
    <row r="87">
      <c r="A87" s="44"/>
      <c r="B87" s="45"/>
      <c r="C87" s="46"/>
      <c r="D87" s="47"/>
    </row>
    <row r="88">
      <c r="A88" s="44"/>
      <c r="B88" s="45"/>
      <c r="C88" s="46"/>
      <c r="D88" s="47"/>
    </row>
    <row r="89">
      <c r="A89" s="44"/>
      <c r="B89" s="45"/>
      <c r="C89" s="46"/>
      <c r="D89" s="47"/>
    </row>
    <row r="90">
      <c r="A90" s="44"/>
      <c r="B90" s="45"/>
      <c r="C90" s="46"/>
      <c r="D90" s="47"/>
    </row>
    <row r="91">
      <c r="A91" s="44"/>
      <c r="B91" s="45"/>
      <c r="C91" s="46"/>
      <c r="D91" s="47"/>
    </row>
    <row r="92">
      <c r="A92" s="44"/>
      <c r="B92" s="45"/>
      <c r="C92" s="46"/>
      <c r="D92" s="47"/>
    </row>
    <row r="93">
      <c r="A93" s="44"/>
      <c r="B93" s="45"/>
      <c r="C93" s="46"/>
      <c r="D93" s="47"/>
    </row>
    <row r="94">
      <c r="A94" s="44"/>
      <c r="B94" s="45"/>
      <c r="C94" s="46"/>
      <c r="D94" s="47"/>
    </row>
    <row r="95">
      <c r="A95" s="44"/>
      <c r="B95" s="45"/>
      <c r="C95" s="46"/>
      <c r="D95" s="47"/>
    </row>
    <row r="96">
      <c r="A96" s="44"/>
      <c r="B96" s="45"/>
      <c r="C96" s="46"/>
      <c r="D96" s="47"/>
    </row>
    <row r="97">
      <c r="A97" s="44"/>
      <c r="B97" s="45"/>
      <c r="C97" s="46"/>
      <c r="D97" s="47"/>
    </row>
    <row r="98">
      <c r="A98" s="44"/>
      <c r="B98" s="45"/>
      <c r="C98" s="46"/>
      <c r="D98" s="47"/>
    </row>
    <row r="99">
      <c r="A99" s="44"/>
      <c r="B99" s="45"/>
      <c r="C99" s="46"/>
      <c r="D99" s="47"/>
    </row>
    <row r="100">
      <c r="A100" s="44"/>
      <c r="B100" s="45"/>
      <c r="C100" s="46"/>
      <c r="D100" s="47"/>
    </row>
    <row r="101">
      <c r="A101" s="44"/>
      <c r="B101" s="45"/>
      <c r="C101" s="46"/>
      <c r="D101" s="47"/>
    </row>
    <row r="102">
      <c r="A102" s="44"/>
      <c r="B102" s="45"/>
      <c r="C102" s="46"/>
      <c r="D102" s="47"/>
    </row>
    <row r="103">
      <c r="A103" s="44"/>
      <c r="B103" s="45"/>
      <c r="C103" s="46"/>
      <c r="D103" s="47"/>
    </row>
    <row r="104">
      <c r="A104" s="44"/>
      <c r="B104" s="45"/>
      <c r="C104" s="46"/>
      <c r="D104" s="47"/>
    </row>
    <row r="105">
      <c r="A105" s="44"/>
      <c r="B105" s="45"/>
      <c r="C105" s="46"/>
      <c r="D105" s="47"/>
    </row>
    <row r="106">
      <c r="A106" s="44"/>
      <c r="B106" s="45"/>
      <c r="C106" s="46"/>
      <c r="D106" s="47"/>
    </row>
    <row r="107">
      <c r="A107" s="44"/>
      <c r="B107" s="45"/>
      <c r="C107" s="46"/>
      <c r="D107" s="47"/>
    </row>
    <row r="108">
      <c r="A108" s="44"/>
      <c r="B108" s="45"/>
      <c r="C108" s="46"/>
      <c r="D108" s="47"/>
    </row>
    <row r="109">
      <c r="A109" s="44"/>
      <c r="B109" s="45"/>
      <c r="C109" s="46"/>
      <c r="D109" s="47"/>
    </row>
    <row r="110">
      <c r="A110" s="44"/>
      <c r="B110" s="45"/>
      <c r="C110" s="46"/>
      <c r="D110" s="47"/>
    </row>
    <row r="111">
      <c r="A111" s="44"/>
      <c r="B111" s="45"/>
      <c r="C111" s="46"/>
      <c r="D111" s="47"/>
    </row>
    <row r="112">
      <c r="A112" s="44"/>
      <c r="B112" s="45"/>
      <c r="C112" s="46"/>
      <c r="D112" s="47"/>
    </row>
    <row r="113">
      <c r="A113" s="44"/>
      <c r="B113" s="45"/>
      <c r="C113" s="46"/>
      <c r="D113" s="47"/>
    </row>
    <row r="114">
      <c r="A114" s="44"/>
      <c r="B114" s="45"/>
      <c r="C114" s="46"/>
      <c r="D114" s="47"/>
    </row>
    <row r="115">
      <c r="A115" s="44"/>
      <c r="B115" s="45"/>
      <c r="C115" s="46"/>
      <c r="D115" s="47"/>
    </row>
    <row r="116">
      <c r="A116" s="44"/>
      <c r="B116" s="45"/>
      <c r="C116" s="46"/>
      <c r="D116" s="47"/>
    </row>
    <row r="117">
      <c r="A117" s="44"/>
      <c r="B117" s="45"/>
      <c r="C117" s="46"/>
      <c r="D117" s="47"/>
    </row>
    <row r="118">
      <c r="A118" s="44"/>
      <c r="B118" s="45"/>
      <c r="C118" s="46"/>
      <c r="D118" s="47"/>
    </row>
    <row r="119">
      <c r="A119" s="44"/>
      <c r="B119" s="45"/>
      <c r="C119" s="46"/>
      <c r="D119" s="47"/>
    </row>
    <row r="120">
      <c r="A120" s="44"/>
      <c r="B120" s="45"/>
      <c r="C120" s="46"/>
      <c r="D120" s="47"/>
    </row>
    <row r="121">
      <c r="A121" s="44"/>
      <c r="B121" s="45"/>
      <c r="C121" s="46"/>
      <c r="D121" s="47"/>
    </row>
    <row r="122">
      <c r="A122" s="44"/>
      <c r="B122" s="45"/>
      <c r="C122" s="46"/>
      <c r="D122" s="47"/>
    </row>
    <row r="123">
      <c r="A123" s="44"/>
      <c r="B123" s="45"/>
      <c r="C123" s="46"/>
      <c r="D123" s="47"/>
    </row>
    <row r="124">
      <c r="A124" s="44"/>
      <c r="B124" s="45"/>
      <c r="C124" s="46"/>
      <c r="D124" s="47"/>
    </row>
    <row r="125">
      <c r="A125" s="44"/>
      <c r="B125" s="45"/>
      <c r="C125" s="46"/>
      <c r="D125" s="47"/>
    </row>
    <row r="126">
      <c r="A126" s="44"/>
      <c r="B126" s="45"/>
      <c r="C126" s="46"/>
      <c r="D126" s="47"/>
    </row>
    <row r="127">
      <c r="A127" s="44"/>
      <c r="B127" s="45"/>
      <c r="C127" s="46"/>
      <c r="D127" s="47"/>
    </row>
    <row r="128">
      <c r="A128" s="44"/>
      <c r="B128" s="45"/>
      <c r="C128" s="46"/>
      <c r="D128" s="47"/>
    </row>
    <row r="129">
      <c r="A129" s="44"/>
      <c r="B129" s="45"/>
      <c r="C129" s="46"/>
      <c r="D129" s="47"/>
    </row>
    <row r="130">
      <c r="A130" s="44"/>
      <c r="B130" s="45"/>
      <c r="C130" s="46"/>
      <c r="D130" s="47"/>
    </row>
    <row r="131">
      <c r="A131" s="44"/>
      <c r="B131" s="45"/>
      <c r="C131" s="46"/>
      <c r="D131" s="47"/>
    </row>
    <row r="132">
      <c r="A132" s="44"/>
      <c r="B132" s="45"/>
      <c r="C132" s="46"/>
      <c r="D132" s="47"/>
    </row>
    <row r="133">
      <c r="A133" s="44"/>
      <c r="B133" s="45"/>
      <c r="C133" s="46"/>
      <c r="D133" s="47"/>
    </row>
    <row r="134">
      <c r="A134" s="44"/>
      <c r="B134" s="45"/>
      <c r="C134" s="46"/>
      <c r="D134" s="47"/>
    </row>
    <row r="135">
      <c r="A135" s="44"/>
      <c r="B135" s="45"/>
      <c r="C135" s="46"/>
      <c r="D135" s="47"/>
    </row>
    <row r="136">
      <c r="A136" s="44"/>
      <c r="B136" s="45"/>
      <c r="C136" s="46"/>
      <c r="D136" s="47"/>
    </row>
    <row r="137">
      <c r="A137" s="44"/>
      <c r="B137" s="45"/>
      <c r="C137" s="46"/>
      <c r="D137" s="47"/>
    </row>
    <row r="138">
      <c r="A138" s="44"/>
      <c r="B138" s="45"/>
      <c r="C138" s="46"/>
      <c r="D138" s="47"/>
    </row>
    <row r="139">
      <c r="A139" s="44"/>
      <c r="B139" s="45"/>
      <c r="C139" s="46"/>
      <c r="D139" s="47"/>
    </row>
    <row r="140">
      <c r="A140" s="44"/>
      <c r="B140" s="45"/>
      <c r="C140" s="46"/>
      <c r="D140" s="47"/>
    </row>
    <row r="141">
      <c r="A141" s="44"/>
      <c r="B141" s="45"/>
      <c r="C141" s="46"/>
      <c r="D141" s="47"/>
    </row>
    <row r="142">
      <c r="A142" s="44"/>
      <c r="B142" s="45"/>
      <c r="C142" s="46"/>
      <c r="D142" s="47"/>
    </row>
    <row r="143">
      <c r="A143" s="44"/>
      <c r="B143" s="45"/>
      <c r="C143" s="46"/>
      <c r="D143" s="47"/>
    </row>
    <row r="144">
      <c r="A144" s="44"/>
      <c r="B144" s="45"/>
      <c r="C144" s="46"/>
      <c r="D144" s="47"/>
    </row>
    <row r="145">
      <c r="A145" s="44"/>
      <c r="B145" s="45"/>
      <c r="C145" s="46"/>
      <c r="D145" s="47"/>
    </row>
    <row r="146">
      <c r="A146" s="44"/>
      <c r="B146" s="45"/>
      <c r="C146" s="46"/>
      <c r="D146" s="47"/>
    </row>
    <row r="147">
      <c r="A147" s="44"/>
      <c r="B147" s="45"/>
      <c r="C147" s="46"/>
      <c r="D147" s="47"/>
    </row>
    <row r="148">
      <c r="A148" s="44"/>
      <c r="B148" s="45"/>
      <c r="C148" s="46"/>
      <c r="D148" s="47"/>
    </row>
    <row r="149">
      <c r="A149" s="44"/>
      <c r="B149" s="45"/>
      <c r="C149" s="46"/>
      <c r="D149" s="47"/>
    </row>
    <row r="150">
      <c r="A150" s="44"/>
      <c r="B150" s="45"/>
      <c r="C150" s="46"/>
      <c r="D150" s="47"/>
    </row>
    <row r="151">
      <c r="A151" s="44"/>
      <c r="B151" s="45"/>
      <c r="C151" s="46"/>
      <c r="D151" s="47"/>
    </row>
    <row r="152">
      <c r="A152" s="44"/>
      <c r="B152" s="45"/>
      <c r="C152" s="46"/>
      <c r="D152" s="47"/>
    </row>
    <row r="153">
      <c r="A153" s="44"/>
      <c r="B153" s="45"/>
      <c r="C153" s="46"/>
      <c r="D153" s="47"/>
    </row>
    <row r="154">
      <c r="A154" s="44"/>
      <c r="B154" s="45"/>
      <c r="C154" s="46"/>
      <c r="D154" s="47"/>
    </row>
    <row r="155">
      <c r="A155" s="44"/>
      <c r="B155" s="45"/>
      <c r="C155" s="46"/>
      <c r="D155" s="47"/>
    </row>
    <row r="156">
      <c r="A156" s="44"/>
      <c r="B156" s="45"/>
      <c r="C156" s="46"/>
      <c r="D156" s="47"/>
    </row>
    <row r="157">
      <c r="A157" s="44"/>
      <c r="B157" s="45"/>
      <c r="C157" s="46"/>
      <c r="D157" s="47"/>
    </row>
    <row r="158">
      <c r="A158" s="44"/>
      <c r="B158" s="45"/>
      <c r="C158" s="46"/>
      <c r="D158" s="47"/>
    </row>
    <row r="159">
      <c r="A159" s="44"/>
      <c r="B159" s="45"/>
      <c r="C159" s="46"/>
      <c r="D159" s="47"/>
    </row>
    <row r="160">
      <c r="A160" s="44"/>
      <c r="B160" s="45"/>
      <c r="C160" s="46"/>
      <c r="D160" s="47"/>
    </row>
    <row r="161">
      <c r="A161" s="44"/>
      <c r="B161" s="45"/>
      <c r="C161" s="46"/>
      <c r="D161" s="47"/>
    </row>
    <row r="162">
      <c r="A162" s="44"/>
      <c r="B162" s="45"/>
      <c r="C162" s="46"/>
      <c r="D162" s="47"/>
    </row>
    <row r="163">
      <c r="A163" s="44"/>
      <c r="B163" s="45"/>
      <c r="C163" s="46"/>
      <c r="D163" s="47"/>
    </row>
    <row r="164">
      <c r="A164" s="44"/>
      <c r="B164" s="45"/>
      <c r="C164" s="46"/>
      <c r="D164" s="47"/>
    </row>
    <row r="165">
      <c r="A165" s="44"/>
      <c r="B165" s="45"/>
      <c r="C165" s="46"/>
      <c r="D165" s="47"/>
    </row>
    <row r="166">
      <c r="A166" s="44"/>
      <c r="B166" s="45"/>
      <c r="C166" s="46"/>
      <c r="D166" s="47"/>
    </row>
    <row r="167">
      <c r="A167" s="44"/>
      <c r="B167" s="45"/>
      <c r="C167" s="46"/>
      <c r="D167" s="47"/>
    </row>
    <row r="168">
      <c r="A168" s="44"/>
      <c r="B168" s="45"/>
      <c r="C168" s="46"/>
      <c r="D168" s="47"/>
    </row>
    <row r="169">
      <c r="A169" s="44"/>
      <c r="B169" s="45"/>
      <c r="C169" s="46"/>
      <c r="D169" s="47"/>
    </row>
    <row r="170">
      <c r="A170" s="44"/>
      <c r="B170" s="45"/>
      <c r="C170" s="46"/>
      <c r="D170" s="47"/>
    </row>
    <row r="171">
      <c r="A171" s="44"/>
      <c r="B171" s="45"/>
      <c r="C171" s="46"/>
      <c r="D171" s="47"/>
    </row>
    <row r="172">
      <c r="A172" s="44"/>
      <c r="B172" s="45"/>
      <c r="C172" s="46"/>
      <c r="D172" s="47"/>
    </row>
    <row r="173">
      <c r="A173" s="44"/>
      <c r="B173" s="45"/>
      <c r="C173" s="46"/>
      <c r="D173" s="47"/>
    </row>
    <row r="174">
      <c r="A174" s="44"/>
      <c r="B174" s="45"/>
      <c r="C174" s="46"/>
      <c r="D174" s="47"/>
    </row>
    <row r="175">
      <c r="A175" s="44"/>
      <c r="B175" s="45"/>
      <c r="C175" s="46"/>
      <c r="D175" s="47"/>
    </row>
    <row r="176">
      <c r="A176" s="44"/>
      <c r="B176" s="45"/>
      <c r="C176" s="46"/>
      <c r="D176" s="47"/>
    </row>
    <row r="177">
      <c r="A177" s="44"/>
      <c r="B177" s="45"/>
      <c r="C177" s="46"/>
      <c r="D177" s="47"/>
    </row>
    <row r="178">
      <c r="A178" s="44"/>
      <c r="B178" s="45"/>
      <c r="C178" s="46"/>
      <c r="D178" s="47"/>
    </row>
    <row r="179">
      <c r="A179" s="44"/>
      <c r="B179" s="45"/>
      <c r="C179" s="46"/>
      <c r="D179" s="47"/>
    </row>
    <row r="180">
      <c r="A180" s="44"/>
      <c r="B180" s="45"/>
      <c r="C180" s="46"/>
      <c r="D180" s="47"/>
    </row>
    <row r="181">
      <c r="A181" s="44"/>
      <c r="B181" s="45"/>
      <c r="C181" s="46"/>
      <c r="D181" s="47"/>
    </row>
    <row r="182">
      <c r="A182" s="44"/>
      <c r="B182" s="45"/>
      <c r="C182" s="46"/>
      <c r="D182" s="47"/>
    </row>
    <row r="183">
      <c r="A183" s="44"/>
      <c r="B183" s="45"/>
      <c r="C183" s="46"/>
      <c r="D183" s="47"/>
    </row>
    <row r="184">
      <c r="A184" s="44"/>
      <c r="B184" s="45"/>
      <c r="C184" s="46"/>
      <c r="D184" s="47"/>
    </row>
    <row r="185">
      <c r="A185" s="44"/>
      <c r="B185" s="45"/>
      <c r="C185" s="46"/>
      <c r="D185" s="47"/>
    </row>
    <row r="186">
      <c r="A186" s="44"/>
      <c r="B186" s="45"/>
      <c r="C186" s="46"/>
      <c r="D186" s="47"/>
    </row>
    <row r="187">
      <c r="A187" s="44"/>
      <c r="B187" s="45"/>
      <c r="C187" s="46"/>
      <c r="D187" s="47"/>
    </row>
    <row r="188">
      <c r="A188" s="44"/>
      <c r="B188" s="45"/>
      <c r="C188" s="46"/>
      <c r="D188" s="47"/>
    </row>
    <row r="189">
      <c r="A189" s="44"/>
      <c r="B189" s="45"/>
      <c r="C189" s="46"/>
      <c r="D189" s="47"/>
    </row>
    <row r="190">
      <c r="A190" s="44"/>
      <c r="B190" s="45"/>
      <c r="C190" s="46"/>
      <c r="D190" s="47"/>
    </row>
    <row r="191">
      <c r="A191" s="44"/>
      <c r="B191" s="45"/>
      <c r="C191" s="46"/>
      <c r="D191" s="47"/>
    </row>
    <row r="192">
      <c r="A192" s="44"/>
      <c r="B192" s="45"/>
      <c r="C192" s="46"/>
      <c r="D192" s="47"/>
    </row>
    <row r="193">
      <c r="A193" s="44"/>
      <c r="B193" s="45"/>
      <c r="C193" s="46"/>
      <c r="D193" s="47"/>
    </row>
    <row r="194">
      <c r="A194" s="44"/>
      <c r="B194" s="45"/>
      <c r="C194" s="46"/>
      <c r="D194" s="47"/>
    </row>
    <row r="195">
      <c r="A195" s="44"/>
      <c r="B195" s="45"/>
      <c r="C195" s="46"/>
      <c r="D195" s="47"/>
    </row>
    <row r="196">
      <c r="A196" s="44"/>
      <c r="B196" s="45"/>
      <c r="C196" s="46"/>
      <c r="D196" s="47"/>
    </row>
    <row r="197">
      <c r="A197" s="44"/>
      <c r="B197" s="45"/>
      <c r="C197" s="46"/>
      <c r="D197" s="47"/>
    </row>
    <row r="198">
      <c r="A198" s="44"/>
      <c r="B198" s="45"/>
      <c r="C198" s="46"/>
      <c r="D198" s="47"/>
    </row>
    <row r="199">
      <c r="A199" s="44"/>
      <c r="B199" s="45"/>
      <c r="C199" s="46"/>
      <c r="D199" s="47"/>
    </row>
    <row r="200">
      <c r="A200" s="44"/>
      <c r="B200" s="45"/>
      <c r="C200" s="46"/>
      <c r="D200" s="47"/>
    </row>
    <row r="201">
      <c r="A201" s="44"/>
      <c r="B201" s="45"/>
      <c r="C201" s="46"/>
      <c r="D201" s="47"/>
    </row>
    <row r="202">
      <c r="A202" s="44"/>
      <c r="B202" s="45"/>
      <c r="C202" s="46"/>
      <c r="D202" s="47"/>
    </row>
    <row r="203">
      <c r="A203" s="44"/>
      <c r="B203" s="45"/>
      <c r="C203" s="46"/>
      <c r="D203" s="47"/>
    </row>
    <row r="204">
      <c r="A204" s="44"/>
      <c r="B204" s="45"/>
      <c r="C204" s="46"/>
      <c r="D204" s="47"/>
    </row>
    <row r="205">
      <c r="A205" s="44"/>
      <c r="B205" s="45"/>
      <c r="C205" s="46"/>
      <c r="D205" s="47"/>
    </row>
    <row r="206">
      <c r="A206" s="44"/>
      <c r="B206" s="45"/>
      <c r="C206" s="46"/>
      <c r="D206" s="47"/>
    </row>
    <row r="207">
      <c r="A207" s="44"/>
      <c r="B207" s="45"/>
      <c r="C207" s="46"/>
      <c r="D207" s="47"/>
    </row>
    <row r="208">
      <c r="A208" s="44"/>
      <c r="B208" s="45"/>
      <c r="C208" s="46"/>
      <c r="D208" s="47"/>
    </row>
    <row r="209">
      <c r="A209" s="44"/>
      <c r="B209" s="45"/>
      <c r="C209" s="46"/>
      <c r="D209" s="47"/>
    </row>
    <row r="210">
      <c r="A210" s="44"/>
      <c r="B210" s="45"/>
      <c r="C210" s="46"/>
      <c r="D210" s="47"/>
    </row>
    <row r="211">
      <c r="A211" s="44"/>
      <c r="B211" s="45"/>
      <c r="C211" s="46"/>
      <c r="D211" s="47"/>
    </row>
    <row r="212">
      <c r="A212" s="44"/>
      <c r="B212" s="45"/>
      <c r="C212" s="46"/>
      <c r="D212" s="47"/>
    </row>
    <row r="213">
      <c r="A213" s="44"/>
      <c r="B213" s="45"/>
      <c r="C213" s="46"/>
      <c r="D213" s="47"/>
    </row>
    <row r="214">
      <c r="A214" s="44"/>
      <c r="B214" s="45"/>
      <c r="C214" s="46"/>
      <c r="D214" s="47"/>
    </row>
    <row r="215">
      <c r="A215" s="44"/>
      <c r="B215" s="45"/>
      <c r="C215" s="46"/>
      <c r="D215" s="47"/>
    </row>
    <row r="216">
      <c r="A216" s="44"/>
      <c r="B216" s="45"/>
      <c r="C216" s="46"/>
      <c r="D216" s="47"/>
    </row>
    <row r="217">
      <c r="A217" s="44"/>
      <c r="B217" s="45"/>
      <c r="C217" s="46"/>
      <c r="D217" s="47"/>
    </row>
    <row r="218">
      <c r="A218" s="44"/>
      <c r="B218" s="45"/>
      <c r="C218" s="46"/>
      <c r="D218" s="47"/>
    </row>
    <row r="219">
      <c r="A219" s="44"/>
      <c r="B219" s="45"/>
      <c r="C219" s="46"/>
      <c r="D219" s="47"/>
    </row>
    <row r="220">
      <c r="A220" s="44"/>
      <c r="B220" s="45"/>
      <c r="C220" s="46"/>
      <c r="D220" s="47"/>
    </row>
    <row r="221">
      <c r="A221" s="44"/>
      <c r="B221" s="45"/>
      <c r="C221" s="46"/>
      <c r="D221" s="47"/>
    </row>
    <row r="222">
      <c r="A222" s="44"/>
      <c r="B222" s="45"/>
      <c r="C222" s="46"/>
      <c r="D222" s="47"/>
    </row>
    <row r="223">
      <c r="A223" s="44"/>
      <c r="B223" s="45"/>
      <c r="C223" s="46"/>
      <c r="D223" s="47"/>
    </row>
    <row r="224">
      <c r="A224" s="44"/>
      <c r="B224" s="45"/>
      <c r="C224" s="46"/>
      <c r="D224" s="47"/>
    </row>
    <row r="225">
      <c r="A225" s="44"/>
      <c r="B225" s="45"/>
      <c r="C225" s="46"/>
      <c r="D225" s="47"/>
    </row>
    <row r="226">
      <c r="A226" s="44"/>
      <c r="B226" s="45"/>
      <c r="C226" s="46"/>
      <c r="D226" s="47"/>
    </row>
    <row r="227">
      <c r="A227" s="44"/>
      <c r="B227" s="45"/>
      <c r="C227" s="46"/>
      <c r="D227" s="47"/>
    </row>
    <row r="228">
      <c r="A228" s="44"/>
      <c r="B228" s="45"/>
      <c r="C228" s="46"/>
      <c r="D228" s="47"/>
    </row>
    <row r="229">
      <c r="A229" s="44"/>
      <c r="B229" s="45"/>
      <c r="C229" s="46"/>
      <c r="D229" s="47"/>
    </row>
    <row r="230">
      <c r="A230" s="44"/>
      <c r="B230" s="45"/>
      <c r="C230" s="46"/>
      <c r="D230" s="47"/>
    </row>
    <row r="231">
      <c r="A231" s="44"/>
      <c r="B231" s="45"/>
      <c r="C231" s="46"/>
      <c r="D231" s="47"/>
    </row>
    <row r="232">
      <c r="A232" s="44"/>
      <c r="B232" s="45"/>
      <c r="C232" s="46"/>
      <c r="D232" s="47"/>
    </row>
    <row r="233">
      <c r="A233" s="44"/>
      <c r="B233" s="45"/>
      <c r="C233" s="46"/>
      <c r="D233" s="47"/>
    </row>
    <row r="234">
      <c r="A234" s="44"/>
      <c r="B234" s="45"/>
      <c r="C234" s="46"/>
      <c r="D234" s="47"/>
    </row>
    <row r="235">
      <c r="A235" s="44"/>
      <c r="B235" s="45"/>
      <c r="C235" s="46"/>
      <c r="D235" s="47"/>
    </row>
    <row r="236">
      <c r="A236" s="44"/>
      <c r="B236" s="45"/>
      <c r="C236" s="46"/>
      <c r="D236" s="47"/>
    </row>
    <row r="237">
      <c r="A237" s="44"/>
      <c r="B237" s="45"/>
      <c r="C237" s="46"/>
      <c r="D237" s="47"/>
    </row>
    <row r="238">
      <c r="A238" s="44"/>
      <c r="B238" s="45"/>
      <c r="C238" s="46"/>
      <c r="D238" s="47"/>
    </row>
    <row r="239">
      <c r="A239" s="44"/>
      <c r="B239" s="45"/>
      <c r="C239" s="46"/>
      <c r="D239" s="47"/>
    </row>
    <row r="240">
      <c r="A240" s="44"/>
      <c r="B240" s="45"/>
      <c r="C240" s="46"/>
      <c r="D240" s="47"/>
    </row>
    <row r="241">
      <c r="A241" s="44"/>
      <c r="B241" s="45"/>
      <c r="C241" s="46"/>
      <c r="D241" s="47"/>
    </row>
    <row r="242">
      <c r="A242" s="44"/>
      <c r="B242" s="45"/>
      <c r="C242" s="46"/>
      <c r="D242" s="47"/>
    </row>
    <row r="243">
      <c r="A243" s="44"/>
      <c r="B243" s="45"/>
      <c r="C243" s="46"/>
      <c r="D243" s="47"/>
    </row>
    <row r="244">
      <c r="A244" s="44"/>
      <c r="B244" s="45"/>
      <c r="C244" s="46"/>
      <c r="D244" s="47"/>
    </row>
    <row r="245">
      <c r="A245" s="44"/>
      <c r="B245" s="45"/>
      <c r="C245" s="46"/>
      <c r="D245" s="47"/>
    </row>
    <row r="246">
      <c r="A246" s="44"/>
      <c r="B246" s="45"/>
      <c r="C246" s="46"/>
      <c r="D246" s="47"/>
    </row>
    <row r="247">
      <c r="A247" s="44"/>
      <c r="B247" s="45"/>
      <c r="C247" s="46"/>
      <c r="D247" s="47"/>
    </row>
    <row r="248">
      <c r="A248" s="44"/>
      <c r="B248" s="45"/>
      <c r="C248" s="46"/>
      <c r="D248" s="47"/>
    </row>
    <row r="249">
      <c r="A249" s="44"/>
      <c r="B249" s="45"/>
      <c r="C249" s="46"/>
      <c r="D249" s="47"/>
    </row>
    <row r="250">
      <c r="A250" s="44"/>
      <c r="B250" s="45"/>
      <c r="C250" s="46"/>
      <c r="D250" s="47"/>
    </row>
    <row r="251">
      <c r="A251" s="44"/>
      <c r="B251" s="45"/>
      <c r="C251" s="46"/>
      <c r="D251" s="47"/>
    </row>
    <row r="252">
      <c r="A252" s="44"/>
      <c r="B252" s="45"/>
      <c r="C252" s="46"/>
      <c r="D252" s="47"/>
    </row>
    <row r="253">
      <c r="A253" s="44"/>
      <c r="B253" s="45"/>
      <c r="C253" s="46"/>
      <c r="D253" s="47"/>
    </row>
    <row r="254">
      <c r="A254" s="44"/>
      <c r="B254" s="45"/>
      <c r="C254" s="46"/>
      <c r="D254" s="47"/>
    </row>
    <row r="255">
      <c r="A255" s="44"/>
      <c r="B255" s="45"/>
      <c r="C255" s="46"/>
      <c r="D255" s="47"/>
    </row>
    <row r="256">
      <c r="A256" s="44"/>
      <c r="B256" s="45"/>
      <c r="C256" s="46"/>
      <c r="D256" s="47"/>
    </row>
    <row r="257">
      <c r="A257" s="44"/>
      <c r="B257" s="45"/>
      <c r="C257" s="46"/>
      <c r="D257" s="47"/>
    </row>
    <row r="258">
      <c r="A258" s="44"/>
      <c r="B258" s="45"/>
      <c r="C258" s="46"/>
      <c r="D258" s="47"/>
    </row>
    <row r="259">
      <c r="A259" s="44"/>
      <c r="B259" s="45"/>
      <c r="C259" s="46"/>
      <c r="D259" s="47"/>
    </row>
    <row r="260">
      <c r="A260" s="44"/>
      <c r="B260" s="45"/>
      <c r="C260" s="46"/>
      <c r="D260" s="47"/>
    </row>
    <row r="261">
      <c r="A261" s="44"/>
      <c r="B261" s="45"/>
      <c r="C261" s="46"/>
      <c r="D261" s="47"/>
    </row>
    <row r="262">
      <c r="A262" s="44"/>
      <c r="B262" s="45"/>
      <c r="C262" s="46"/>
      <c r="D262" s="47"/>
    </row>
    <row r="263">
      <c r="A263" s="44"/>
      <c r="B263" s="45"/>
      <c r="C263" s="46"/>
      <c r="D263" s="47"/>
    </row>
    <row r="264">
      <c r="A264" s="44"/>
      <c r="B264" s="45"/>
      <c r="C264" s="46"/>
      <c r="D264" s="47"/>
    </row>
    <row r="265">
      <c r="A265" s="44"/>
      <c r="B265" s="45"/>
      <c r="C265" s="46"/>
      <c r="D265" s="47"/>
    </row>
    <row r="266">
      <c r="A266" s="44"/>
      <c r="B266" s="45"/>
      <c r="C266" s="46"/>
      <c r="D266" s="47"/>
    </row>
    <row r="267">
      <c r="A267" s="44"/>
      <c r="B267" s="45"/>
      <c r="C267" s="46"/>
      <c r="D267" s="47"/>
    </row>
    <row r="268">
      <c r="A268" s="44"/>
      <c r="B268" s="45"/>
      <c r="C268" s="46"/>
      <c r="D268" s="47"/>
    </row>
    <row r="269">
      <c r="A269" s="44"/>
      <c r="B269" s="45"/>
      <c r="C269" s="46"/>
      <c r="D269" s="47"/>
    </row>
    <row r="270">
      <c r="A270" s="44"/>
      <c r="B270" s="45"/>
      <c r="C270" s="46"/>
      <c r="D270" s="47"/>
    </row>
    <row r="271">
      <c r="A271" s="44"/>
      <c r="B271" s="45"/>
      <c r="C271" s="46"/>
      <c r="D271" s="47"/>
    </row>
    <row r="272">
      <c r="A272" s="44"/>
      <c r="B272" s="45"/>
      <c r="C272" s="46"/>
      <c r="D272" s="47"/>
    </row>
    <row r="273">
      <c r="A273" s="44"/>
      <c r="B273" s="45"/>
      <c r="C273" s="46"/>
      <c r="D273" s="47"/>
    </row>
    <row r="274">
      <c r="A274" s="44"/>
      <c r="B274" s="45"/>
      <c r="C274" s="46"/>
      <c r="D274" s="47"/>
    </row>
    <row r="275">
      <c r="A275" s="44"/>
      <c r="B275" s="45"/>
      <c r="C275" s="46"/>
      <c r="D275" s="47"/>
    </row>
    <row r="276">
      <c r="A276" s="44"/>
      <c r="B276" s="45"/>
      <c r="C276" s="46"/>
      <c r="D276" s="47"/>
    </row>
    <row r="277">
      <c r="A277" s="44"/>
      <c r="B277" s="45"/>
      <c r="C277" s="46"/>
      <c r="D277" s="47"/>
    </row>
    <row r="278">
      <c r="A278" s="44"/>
      <c r="B278" s="45"/>
      <c r="C278" s="46"/>
      <c r="D278" s="47"/>
    </row>
    <row r="279">
      <c r="A279" s="44"/>
      <c r="B279" s="45"/>
      <c r="C279" s="46"/>
      <c r="D279" s="47"/>
    </row>
    <row r="280">
      <c r="A280" s="44"/>
      <c r="B280" s="45"/>
      <c r="C280" s="46"/>
      <c r="D280" s="47"/>
    </row>
    <row r="281">
      <c r="A281" s="44"/>
      <c r="B281" s="45"/>
      <c r="C281" s="46"/>
      <c r="D281" s="47"/>
    </row>
    <row r="282">
      <c r="A282" s="44"/>
      <c r="B282" s="45"/>
      <c r="C282" s="46"/>
      <c r="D282" s="47"/>
    </row>
    <row r="283">
      <c r="A283" s="44"/>
      <c r="B283" s="45"/>
      <c r="C283" s="46"/>
      <c r="D283" s="47"/>
    </row>
    <row r="284">
      <c r="A284" s="44"/>
      <c r="B284" s="45"/>
      <c r="C284" s="46"/>
      <c r="D284" s="47"/>
    </row>
    <row r="285">
      <c r="A285" s="44"/>
      <c r="B285" s="45"/>
      <c r="C285" s="46"/>
      <c r="D285" s="47"/>
    </row>
    <row r="286">
      <c r="A286" s="44"/>
      <c r="B286" s="45"/>
      <c r="C286" s="46"/>
      <c r="D286" s="47"/>
    </row>
    <row r="287">
      <c r="A287" s="44"/>
      <c r="B287" s="45"/>
      <c r="C287" s="46"/>
      <c r="D287" s="47"/>
    </row>
    <row r="288">
      <c r="A288" s="44"/>
      <c r="B288" s="45"/>
      <c r="C288" s="46"/>
      <c r="D288" s="47"/>
    </row>
    <row r="289">
      <c r="A289" s="44"/>
      <c r="B289" s="45"/>
      <c r="C289" s="46"/>
      <c r="D289" s="47"/>
    </row>
    <row r="290">
      <c r="A290" s="44"/>
      <c r="B290" s="45"/>
      <c r="C290" s="46"/>
      <c r="D290" s="47"/>
    </row>
    <row r="291">
      <c r="A291" s="44"/>
      <c r="B291" s="45"/>
      <c r="C291" s="46"/>
      <c r="D291" s="47"/>
    </row>
    <row r="292">
      <c r="A292" s="44"/>
      <c r="B292" s="45"/>
      <c r="C292" s="46"/>
      <c r="D292" s="47"/>
    </row>
    <row r="293">
      <c r="A293" s="44"/>
      <c r="B293" s="45"/>
      <c r="C293" s="46"/>
      <c r="D293" s="47"/>
    </row>
    <row r="294">
      <c r="A294" s="44"/>
      <c r="B294" s="45"/>
      <c r="C294" s="46"/>
      <c r="D294" s="47"/>
    </row>
    <row r="295">
      <c r="A295" s="44"/>
      <c r="B295" s="45"/>
      <c r="C295" s="46"/>
      <c r="D295" s="47"/>
    </row>
    <row r="296">
      <c r="A296" s="44"/>
      <c r="B296" s="45"/>
      <c r="C296" s="46"/>
      <c r="D296" s="47"/>
    </row>
    <row r="297">
      <c r="A297" s="44"/>
      <c r="B297" s="45"/>
      <c r="C297" s="46"/>
      <c r="D297" s="47"/>
    </row>
    <row r="298">
      <c r="A298" s="44"/>
      <c r="B298" s="45"/>
      <c r="C298" s="46"/>
      <c r="D298" s="47"/>
    </row>
    <row r="299">
      <c r="A299" s="44"/>
      <c r="B299" s="45"/>
      <c r="C299" s="46"/>
      <c r="D299" s="47"/>
    </row>
    <row r="300">
      <c r="A300" s="44"/>
      <c r="B300" s="45"/>
      <c r="C300" s="46"/>
      <c r="D300" s="47"/>
    </row>
    <row r="301">
      <c r="A301" s="44"/>
      <c r="B301" s="45"/>
      <c r="C301" s="46"/>
      <c r="D301" s="47"/>
    </row>
    <row r="302">
      <c r="A302" s="44"/>
      <c r="B302" s="45"/>
      <c r="C302" s="46"/>
      <c r="D302" s="47"/>
    </row>
    <row r="303">
      <c r="A303" s="44"/>
      <c r="B303" s="45"/>
      <c r="C303" s="46"/>
      <c r="D303" s="47"/>
    </row>
    <row r="304">
      <c r="A304" s="44"/>
      <c r="B304" s="45"/>
      <c r="C304" s="46"/>
      <c r="D304" s="47"/>
    </row>
    <row r="305">
      <c r="A305" s="44"/>
      <c r="B305" s="45"/>
      <c r="C305" s="46"/>
      <c r="D305" s="47"/>
    </row>
    <row r="306">
      <c r="A306" s="44"/>
      <c r="B306" s="45"/>
      <c r="C306" s="46"/>
      <c r="D306" s="47"/>
    </row>
    <row r="307">
      <c r="A307" s="44"/>
      <c r="B307" s="45"/>
      <c r="C307" s="46"/>
      <c r="D307" s="47"/>
    </row>
    <row r="308">
      <c r="A308" s="44"/>
      <c r="B308" s="45"/>
      <c r="C308" s="46"/>
      <c r="D308" s="47"/>
    </row>
    <row r="309">
      <c r="A309" s="44"/>
      <c r="B309" s="45"/>
      <c r="C309" s="46"/>
      <c r="D309" s="47"/>
    </row>
    <row r="310">
      <c r="A310" s="44"/>
      <c r="B310" s="45"/>
      <c r="C310" s="46"/>
      <c r="D310" s="47"/>
    </row>
    <row r="311">
      <c r="A311" s="44"/>
      <c r="B311" s="45"/>
      <c r="C311" s="46"/>
      <c r="D311" s="47"/>
    </row>
    <row r="312">
      <c r="A312" s="44"/>
      <c r="B312" s="45"/>
      <c r="C312" s="46"/>
      <c r="D312" s="47"/>
    </row>
    <row r="313">
      <c r="A313" s="44"/>
      <c r="B313" s="45"/>
      <c r="C313" s="46"/>
      <c r="D313" s="47"/>
    </row>
    <row r="314">
      <c r="A314" s="44"/>
      <c r="B314" s="45"/>
      <c r="C314" s="46"/>
      <c r="D314" s="47"/>
    </row>
    <row r="315">
      <c r="A315" s="44"/>
      <c r="B315" s="45"/>
      <c r="C315" s="46"/>
      <c r="D315" s="47"/>
    </row>
    <row r="316">
      <c r="A316" s="44"/>
      <c r="B316" s="45"/>
      <c r="C316" s="46"/>
      <c r="D316" s="47"/>
    </row>
    <row r="317">
      <c r="A317" s="44"/>
      <c r="B317" s="45"/>
      <c r="C317" s="46"/>
      <c r="D317" s="47"/>
    </row>
    <row r="318">
      <c r="A318" s="44"/>
      <c r="B318" s="45"/>
      <c r="C318" s="46"/>
      <c r="D318" s="47"/>
    </row>
    <row r="319">
      <c r="A319" s="44"/>
      <c r="B319" s="45"/>
      <c r="C319" s="46"/>
      <c r="D319" s="47"/>
    </row>
    <row r="320">
      <c r="A320" s="44"/>
      <c r="B320" s="45"/>
      <c r="C320" s="46"/>
      <c r="D320" s="47"/>
    </row>
    <row r="321">
      <c r="A321" s="44"/>
      <c r="B321" s="45"/>
      <c r="C321" s="46"/>
      <c r="D321" s="47"/>
    </row>
    <row r="322">
      <c r="A322" s="44"/>
      <c r="B322" s="45"/>
      <c r="C322" s="46"/>
      <c r="D322" s="47"/>
    </row>
    <row r="323">
      <c r="A323" s="44"/>
      <c r="B323" s="45"/>
      <c r="C323" s="46"/>
      <c r="D323" s="47"/>
    </row>
    <row r="324">
      <c r="A324" s="44"/>
      <c r="B324" s="45"/>
      <c r="C324" s="46"/>
      <c r="D324" s="47"/>
    </row>
    <row r="325">
      <c r="A325" s="44"/>
      <c r="B325" s="45"/>
      <c r="C325" s="46"/>
      <c r="D325" s="47"/>
    </row>
    <row r="326">
      <c r="A326" s="44"/>
      <c r="B326" s="45"/>
      <c r="C326" s="46"/>
      <c r="D326" s="47"/>
    </row>
    <row r="327">
      <c r="A327" s="44"/>
      <c r="B327" s="45"/>
      <c r="C327" s="46"/>
      <c r="D327" s="47"/>
    </row>
    <row r="328">
      <c r="A328" s="44"/>
      <c r="B328" s="45"/>
      <c r="C328" s="46"/>
      <c r="D328" s="47"/>
    </row>
    <row r="329">
      <c r="A329" s="44"/>
      <c r="B329" s="45"/>
      <c r="C329" s="46"/>
      <c r="D329" s="47"/>
    </row>
    <row r="330">
      <c r="A330" s="44"/>
      <c r="B330" s="45"/>
      <c r="C330" s="46"/>
      <c r="D330" s="47"/>
    </row>
    <row r="331">
      <c r="A331" s="44"/>
      <c r="B331" s="45"/>
      <c r="C331" s="46"/>
      <c r="D331" s="47"/>
    </row>
    <row r="332">
      <c r="A332" s="44"/>
      <c r="B332" s="45"/>
      <c r="C332" s="46"/>
      <c r="D332" s="47"/>
    </row>
    <row r="333">
      <c r="A333" s="44"/>
      <c r="B333" s="45"/>
      <c r="C333" s="46"/>
      <c r="D333" s="47"/>
    </row>
    <row r="334">
      <c r="A334" s="44"/>
      <c r="B334" s="45"/>
      <c r="C334" s="46"/>
      <c r="D334" s="47"/>
    </row>
    <row r="335">
      <c r="A335" s="44"/>
      <c r="B335" s="45"/>
      <c r="C335" s="46"/>
      <c r="D335" s="47"/>
    </row>
    <row r="336">
      <c r="A336" s="44"/>
      <c r="B336" s="45"/>
      <c r="C336" s="46"/>
      <c r="D336" s="47"/>
    </row>
    <row r="337">
      <c r="A337" s="44"/>
      <c r="B337" s="45"/>
      <c r="C337" s="46"/>
      <c r="D337" s="47"/>
    </row>
    <row r="338">
      <c r="A338" s="44"/>
      <c r="B338" s="45"/>
      <c r="C338" s="46"/>
      <c r="D338" s="47"/>
    </row>
    <row r="339">
      <c r="A339" s="44"/>
      <c r="B339" s="45"/>
      <c r="C339" s="46"/>
      <c r="D339" s="47"/>
    </row>
    <row r="340">
      <c r="A340" s="44"/>
      <c r="B340" s="45"/>
      <c r="C340" s="46"/>
      <c r="D340" s="47"/>
    </row>
    <row r="341">
      <c r="A341" s="44"/>
      <c r="B341" s="45"/>
      <c r="C341" s="46"/>
      <c r="D341" s="47"/>
    </row>
    <row r="342">
      <c r="A342" s="44"/>
      <c r="B342" s="45"/>
      <c r="C342" s="46"/>
      <c r="D342" s="47"/>
    </row>
    <row r="343">
      <c r="A343" s="44"/>
      <c r="B343" s="45"/>
      <c r="C343" s="46"/>
      <c r="D343" s="47"/>
    </row>
    <row r="344">
      <c r="A344" s="44"/>
      <c r="B344" s="45"/>
      <c r="C344" s="46"/>
      <c r="D344" s="47"/>
    </row>
    <row r="345">
      <c r="A345" s="44"/>
      <c r="B345" s="45"/>
      <c r="C345" s="46"/>
      <c r="D345" s="47"/>
    </row>
    <row r="346">
      <c r="A346" s="44"/>
      <c r="B346" s="45"/>
      <c r="C346" s="46"/>
      <c r="D346" s="47"/>
    </row>
    <row r="347">
      <c r="A347" s="44"/>
      <c r="B347" s="45"/>
      <c r="C347" s="46"/>
      <c r="D347" s="47"/>
    </row>
    <row r="348">
      <c r="A348" s="44"/>
      <c r="B348" s="45"/>
      <c r="C348" s="46"/>
      <c r="D348" s="47"/>
    </row>
    <row r="349">
      <c r="A349" s="44"/>
      <c r="B349" s="45"/>
      <c r="C349" s="46"/>
      <c r="D349" s="47"/>
    </row>
    <row r="350">
      <c r="A350" s="44"/>
      <c r="B350" s="45"/>
      <c r="C350" s="46"/>
      <c r="D350" s="47"/>
    </row>
    <row r="351">
      <c r="A351" s="44"/>
      <c r="B351" s="45"/>
      <c r="C351" s="46"/>
      <c r="D351" s="47"/>
    </row>
    <row r="352">
      <c r="A352" s="44"/>
      <c r="B352" s="45"/>
      <c r="C352" s="46"/>
      <c r="D352" s="47"/>
    </row>
    <row r="353">
      <c r="A353" s="44"/>
      <c r="B353" s="45"/>
      <c r="C353" s="46"/>
      <c r="D353" s="47"/>
    </row>
    <row r="354">
      <c r="A354" s="44"/>
      <c r="B354" s="45"/>
      <c r="C354" s="46"/>
      <c r="D354" s="47"/>
    </row>
    <row r="355">
      <c r="A355" s="44"/>
      <c r="B355" s="45"/>
      <c r="C355" s="46"/>
      <c r="D355" s="47"/>
    </row>
    <row r="356">
      <c r="A356" s="44"/>
      <c r="B356" s="45"/>
      <c r="C356" s="46"/>
      <c r="D356" s="47"/>
    </row>
    <row r="357">
      <c r="A357" s="44"/>
      <c r="B357" s="45"/>
      <c r="C357" s="46"/>
      <c r="D357" s="47"/>
    </row>
    <row r="358">
      <c r="A358" s="44"/>
      <c r="B358" s="45"/>
      <c r="C358" s="46"/>
      <c r="D358" s="47"/>
    </row>
    <row r="359">
      <c r="A359" s="44"/>
      <c r="B359" s="45"/>
      <c r="C359" s="46"/>
      <c r="D359" s="47"/>
    </row>
    <row r="360">
      <c r="A360" s="44"/>
      <c r="B360" s="45"/>
      <c r="C360" s="46"/>
      <c r="D360" s="47"/>
    </row>
    <row r="361">
      <c r="A361" s="44"/>
      <c r="B361" s="45"/>
      <c r="C361" s="46"/>
      <c r="D361" s="47"/>
    </row>
    <row r="362">
      <c r="A362" s="44"/>
      <c r="B362" s="45"/>
      <c r="C362" s="46"/>
      <c r="D362" s="47"/>
    </row>
    <row r="363">
      <c r="A363" s="44"/>
      <c r="B363" s="45"/>
      <c r="C363" s="46"/>
      <c r="D363" s="47"/>
    </row>
    <row r="364">
      <c r="A364" s="44"/>
      <c r="B364" s="45"/>
      <c r="C364" s="46"/>
      <c r="D364" s="47"/>
    </row>
    <row r="365">
      <c r="A365" s="44"/>
      <c r="B365" s="45"/>
      <c r="C365" s="46"/>
      <c r="D365" s="47"/>
    </row>
    <row r="366">
      <c r="A366" s="44"/>
      <c r="B366" s="45"/>
      <c r="C366" s="46"/>
      <c r="D366" s="47"/>
    </row>
    <row r="367">
      <c r="A367" s="44"/>
      <c r="B367" s="45"/>
      <c r="C367" s="46"/>
      <c r="D367" s="47"/>
    </row>
    <row r="368">
      <c r="A368" s="44"/>
      <c r="B368" s="45"/>
      <c r="C368" s="46"/>
      <c r="D368" s="47"/>
    </row>
    <row r="369">
      <c r="A369" s="44"/>
      <c r="B369" s="45"/>
      <c r="C369" s="46"/>
      <c r="D369" s="47"/>
    </row>
    <row r="370">
      <c r="A370" s="44"/>
      <c r="B370" s="45"/>
      <c r="C370" s="46"/>
      <c r="D370" s="47"/>
    </row>
    <row r="371">
      <c r="A371" s="44"/>
      <c r="B371" s="45"/>
      <c r="C371" s="46"/>
      <c r="D371" s="47"/>
    </row>
    <row r="372">
      <c r="A372" s="44"/>
      <c r="B372" s="45"/>
      <c r="C372" s="46"/>
      <c r="D372" s="47"/>
    </row>
    <row r="373">
      <c r="A373" s="44"/>
      <c r="B373" s="45"/>
      <c r="C373" s="46"/>
      <c r="D373" s="47"/>
    </row>
    <row r="374">
      <c r="A374" s="44"/>
      <c r="B374" s="45"/>
      <c r="C374" s="46"/>
      <c r="D374" s="47"/>
    </row>
    <row r="375">
      <c r="A375" s="44"/>
      <c r="B375" s="45"/>
      <c r="C375" s="46"/>
      <c r="D375" s="47"/>
    </row>
    <row r="376">
      <c r="A376" s="44"/>
      <c r="B376" s="45"/>
      <c r="C376" s="46"/>
      <c r="D376" s="47"/>
    </row>
    <row r="377">
      <c r="A377" s="44"/>
      <c r="B377" s="45"/>
      <c r="C377" s="46"/>
      <c r="D377" s="47"/>
    </row>
    <row r="378">
      <c r="A378" s="44"/>
      <c r="B378" s="45"/>
      <c r="C378" s="46"/>
      <c r="D378" s="47"/>
    </row>
    <row r="379">
      <c r="A379" s="44"/>
      <c r="B379" s="45"/>
      <c r="C379" s="46"/>
      <c r="D379" s="47"/>
    </row>
    <row r="380">
      <c r="A380" s="44"/>
      <c r="B380" s="45"/>
      <c r="C380" s="46"/>
      <c r="D380" s="47"/>
    </row>
    <row r="381">
      <c r="A381" s="44"/>
      <c r="B381" s="45"/>
      <c r="C381" s="46"/>
      <c r="D381" s="47"/>
    </row>
    <row r="382">
      <c r="A382" s="44"/>
      <c r="B382" s="45"/>
      <c r="C382" s="46"/>
      <c r="D382" s="47"/>
    </row>
    <row r="383">
      <c r="A383" s="44"/>
      <c r="B383" s="45"/>
      <c r="C383" s="46"/>
      <c r="D383" s="47"/>
    </row>
    <row r="384">
      <c r="A384" s="44"/>
      <c r="B384" s="45"/>
      <c r="C384" s="46"/>
      <c r="D384" s="47"/>
    </row>
    <row r="385">
      <c r="A385" s="44"/>
      <c r="B385" s="45"/>
      <c r="C385" s="46"/>
      <c r="D385" s="47"/>
    </row>
    <row r="386">
      <c r="A386" s="44"/>
      <c r="B386" s="45"/>
      <c r="C386" s="46"/>
      <c r="D386" s="47"/>
    </row>
    <row r="387">
      <c r="A387" s="44"/>
      <c r="B387" s="45"/>
      <c r="C387" s="46"/>
      <c r="D387" s="47"/>
    </row>
    <row r="388">
      <c r="A388" s="44"/>
      <c r="B388" s="45"/>
      <c r="C388" s="46"/>
      <c r="D388" s="47"/>
    </row>
    <row r="389">
      <c r="A389" s="44"/>
      <c r="B389" s="45"/>
      <c r="C389" s="46"/>
      <c r="D389" s="47"/>
    </row>
    <row r="390">
      <c r="A390" s="44"/>
      <c r="B390" s="45"/>
      <c r="C390" s="46"/>
      <c r="D390" s="47"/>
    </row>
    <row r="391">
      <c r="A391" s="44"/>
      <c r="B391" s="45"/>
      <c r="C391" s="46"/>
      <c r="D391" s="47"/>
    </row>
    <row r="392">
      <c r="A392" s="44"/>
      <c r="B392" s="45"/>
      <c r="C392" s="46"/>
      <c r="D392" s="47"/>
    </row>
    <row r="393">
      <c r="A393" s="44"/>
      <c r="B393" s="45"/>
      <c r="C393" s="46"/>
      <c r="D393" s="47"/>
    </row>
    <row r="394">
      <c r="A394" s="44"/>
      <c r="B394" s="45"/>
      <c r="C394" s="46"/>
      <c r="D394" s="47"/>
    </row>
    <row r="395">
      <c r="A395" s="44"/>
      <c r="B395" s="45"/>
      <c r="C395" s="46"/>
      <c r="D395" s="47"/>
    </row>
    <row r="396">
      <c r="A396" s="44"/>
      <c r="B396" s="45"/>
      <c r="C396" s="46"/>
      <c r="D396" s="47"/>
    </row>
    <row r="397">
      <c r="A397" s="44"/>
      <c r="B397" s="45"/>
      <c r="C397" s="46"/>
      <c r="D397" s="47"/>
    </row>
    <row r="398">
      <c r="A398" s="44"/>
      <c r="B398" s="45"/>
      <c r="C398" s="46"/>
      <c r="D398" s="47"/>
    </row>
    <row r="399">
      <c r="A399" s="44"/>
      <c r="B399" s="45"/>
      <c r="C399" s="46"/>
      <c r="D399" s="47"/>
    </row>
    <row r="400">
      <c r="A400" s="44"/>
      <c r="B400" s="45"/>
      <c r="C400" s="46"/>
      <c r="D400" s="47"/>
    </row>
    <row r="401">
      <c r="A401" s="44"/>
      <c r="B401" s="45"/>
      <c r="C401" s="46"/>
      <c r="D401" s="47"/>
    </row>
    <row r="402">
      <c r="A402" s="44"/>
      <c r="B402" s="45"/>
      <c r="C402" s="46"/>
      <c r="D402" s="47"/>
    </row>
    <row r="403">
      <c r="A403" s="44"/>
      <c r="B403" s="45"/>
      <c r="C403" s="46"/>
      <c r="D403" s="47"/>
    </row>
    <row r="404">
      <c r="A404" s="44"/>
      <c r="B404" s="45"/>
      <c r="C404" s="46"/>
      <c r="D404" s="47"/>
    </row>
    <row r="405">
      <c r="A405" s="44"/>
      <c r="B405" s="45"/>
      <c r="C405" s="46"/>
      <c r="D405" s="47"/>
    </row>
    <row r="406">
      <c r="A406" s="44"/>
      <c r="B406" s="45"/>
      <c r="C406" s="46"/>
      <c r="D406" s="47"/>
    </row>
    <row r="407">
      <c r="A407" s="44"/>
      <c r="B407" s="45"/>
      <c r="C407" s="46"/>
      <c r="D407" s="47"/>
    </row>
    <row r="408">
      <c r="A408" s="44"/>
      <c r="B408" s="45"/>
      <c r="C408" s="46"/>
      <c r="D408" s="47"/>
    </row>
    <row r="409">
      <c r="A409" s="44"/>
      <c r="B409" s="45"/>
      <c r="C409" s="46"/>
      <c r="D409" s="47"/>
    </row>
    <row r="410">
      <c r="A410" s="44"/>
      <c r="B410" s="45"/>
      <c r="C410" s="46"/>
      <c r="D410" s="47"/>
    </row>
    <row r="411">
      <c r="A411" s="44"/>
      <c r="B411" s="45"/>
      <c r="C411" s="46"/>
      <c r="D411" s="47"/>
    </row>
    <row r="412">
      <c r="A412" s="44"/>
      <c r="B412" s="45"/>
      <c r="C412" s="46"/>
      <c r="D412" s="47"/>
    </row>
    <row r="413">
      <c r="A413" s="44"/>
      <c r="B413" s="45"/>
      <c r="C413" s="46"/>
      <c r="D413" s="47"/>
    </row>
    <row r="414">
      <c r="A414" s="44"/>
      <c r="B414" s="45"/>
      <c r="C414" s="46"/>
      <c r="D414" s="47"/>
    </row>
    <row r="415">
      <c r="A415" s="44"/>
      <c r="B415" s="45"/>
      <c r="C415" s="46"/>
      <c r="D415" s="47"/>
    </row>
    <row r="416">
      <c r="A416" s="44"/>
      <c r="B416" s="45"/>
      <c r="C416" s="46"/>
      <c r="D416" s="47"/>
    </row>
    <row r="417">
      <c r="A417" s="44"/>
      <c r="B417" s="45"/>
      <c r="C417" s="46"/>
      <c r="D417" s="47"/>
    </row>
    <row r="418">
      <c r="A418" s="44"/>
      <c r="B418" s="45"/>
      <c r="C418" s="46"/>
      <c r="D418" s="47"/>
    </row>
    <row r="419">
      <c r="A419" s="44"/>
      <c r="B419" s="45"/>
      <c r="C419" s="46"/>
      <c r="D419" s="47"/>
    </row>
    <row r="420">
      <c r="A420" s="44"/>
      <c r="B420" s="45"/>
      <c r="C420" s="46"/>
      <c r="D420" s="47"/>
    </row>
    <row r="421">
      <c r="A421" s="44"/>
      <c r="B421" s="45"/>
      <c r="C421" s="46"/>
      <c r="D421" s="47"/>
    </row>
    <row r="422">
      <c r="A422" s="44"/>
      <c r="B422" s="45"/>
      <c r="C422" s="46"/>
      <c r="D422" s="47"/>
    </row>
    <row r="423">
      <c r="A423" s="44"/>
      <c r="B423" s="45"/>
      <c r="C423" s="46"/>
      <c r="D423" s="47"/>
    </row>
    <row r="424">
      <c r="A424" s="44"/>
      <c r="B424" s="45"/>
      <c r="C424" s="46"/>
      <c r="D424" s="47"/>
    </row>
    <row r="425">
      <c r="A425" s="44"/>
      <c r="B425" s="45"/>
      <c r="C425" s="46"/>
      <c r="D425" s="47"/>
    </row>
    <row r="426">
      <c r="A426" s="44"/>
      <c r="B426" s="45"/>
      <c r="C426" s="46"/>
      <c r="D426" s="47"/>
    </row>
    <row r="427">
      <c r="A427" s="44"/>
      <c r="B427" s="45"/>
      <c r="C427" s="46"/>
      <c r="D427" s="47"/>
    </row>
    <row r="428">
      <c r="A428" s="44"/>
      <c r="B428" s="45"/>
      <c r="C428" s="46"/>
      <c r="D428" s="47"/>
    </row>
    <row r="429">
      <c r="A429" s="44"/>
      <c r="B429" s="45"/>
      <c r="C429" s="46"/>
      <c r="D429" s="47"/>
    </row>
    <row r="430">
      <c r="A430" s="44"/>
      <c r="B430" s="45"/>
      <c r="C430" s="46"/>
      <c r="D430" s="47"/>
    </row>
    <row r="431">
      <c r="A431" s="44"/>
      <c r="B431" s="45"/>
      <c r="C431" s="46"/>
      <c r="D431" s="47"/>
    </row>
    <row r="432">
      <c r="A432" s="44"/>
      <c r="B432" s="45"/>
      <c r="C432" s="46"/>
      <c r="D432" s="47"/>
    </row>
    <row r="433">
      <c r="A433" s="44"/>
      <c r="B433" s="45"/>
      <c r="C433" s="46"/>
      <c r="D433" s="47"/>
    </row>
    <row r="434">
      <c r="A434" s="44"/>
      <c r="B434" s="45"/>
      <c r="C434" s="46"/>
      <c r="D434" s="47"/>
    </row>
    <row r="435">
      <c r="A435" s="44"/>
      <c r="B435" s="45"/>
      <c r="C435" s="46"/>
      <c r="D435" s="47"/>
    </row>
    <row r="436">
      <c r="A436" s="44"/>
      <c r="B436" s="45"/>
      <c r="C436" s="46"/>
      <c r="D436" s="47"/>
    </row>
    <row r="437">
      <c r="A437" s="44"/>
      <c r="B437" s="45"/>
      <c r="C437" s="46"/>
      <c r="D437" s="47"/>
    </row>
    <row r="438">
      <c r="A438" s="44"/>
      <c r="B438" s="45"/>
      <c r="C438" s="46"/>
      <c r="D438" s="47"/>
    </row>
    <row r="439">
      <c r="A439" s="44"/>
      <c r="B439" s="45"/>
      <c r="C439" s="46"/>
      <c r="D439" s="47"/>
    </row>
    <row r="440">
      <c r="A440" s="44"/>
      <c r="B440" s="45"/>
      <c r="C440" s="46"/>
      <c r="D440" s="47"/>
    </row>
    <row r="441">
      <c r="A441" s="44"/>
      <c r="B441" s="45"/>
      <c r="C441" s="46"/>
      <c r="D441" s="47"/>
    </row>
    <row r="442">
      <c r="A442" s="44"/>
      <c r="B442" s="45"/>
      <c r="C442" s="46"/>
      <c r="D442" s="47"/>
    </row>
    <row r="443">
      <c r="A443" s="44"/>
      <c r="B443" s="45"/>
      <c r="C443" s="46"/>
      <c r="D443" s="47"/>
    </row>
    <row r="444">
      <c r="A444" s="44"/>
      <c r="B444" s="45"/>
      <c r="C444" s="46"/>
      <c r="D444" s="47"/>
    </row>
    <row r="445">
      <c r="A445" s="44"/>
      <c r="B445" s="45"/>
      <c r="C445" s="46"/>
      <c r="D445" s="47"/>
    </row>
    <row r="446">
      <c r="A446" s="44"/>
      <c r="B446" s="45"/>
      <c r="C446" s="46"/>
      <c r="D446" s="47"/>
    </row>
    <row r="447">
      <c r="A447" s="44"/>
      <c r="B447" s="45"/>
      <c r="C447" s="46"/>
      <c r="D447" s="47"/>
    </row>
    <row r="448">
      <c r="A448" s="44"/>
      <c r="B448" s="45"/>
      <c r="C448" s="46"/>
      <c r="D448" s="47"/>
    </row>
    <row r="449">
      <c r="A449" s="44"/>
      <c r="B449" s="45"/>
      <c r="C449" s="46"/>
      <c r="D449" s="47"/>
    </row>
    <row r="450">
      <c r="A450" s="44"/>
      <c r="B450" s="45"/>
      <c r="C450" s="46"/>
      <c r="D450" s="47"/>
    </row>
    <row r="451">
      <c r="A451" s="44"/>
      <c r="B451" s="45"/>
      <c r="C451" s="46"/>
      <c r="D451" s="47"/>
    </row>
    <row r="452">
      <c r="A452" s="44"/>
      <c r="B452" s="45"/>
      <c r="C452" s="46"/>
      <c r="D452" s="47"/>
    </row>
    <row r="453">
      <c r="A453" s="44"/>
      <c r="B453" s="45"/>
      <c r="C453" s="46"/>
      <c r="D453" s="47"/>
    </row>
    <row r="454">
      <c r="A454" s="44"/>
      <c r="B454" s="45"/>
      <c r="C454" s="46"/>
      <c r="D454" s="47"/>
    </row>
    <row r="455">
      <c r="A455" s="44"/>
      <c r="B455" s="45"/>
      <c r="C455" s="46"/>
      <c r="D455" s="47"/>
    </row>
    <row r="456">
      <c r="A456" s="44"/>
      <c r="B456" s="45"/>
      <c r="C456" s="46"/>
      <c r="D456" s="47"/>
    </row>
    <row r="457">
      <c r="A457" s="44"/>
      <c r="B457" s="45"/>
      <c r="C457" s="46"/>
      <c r="D457" s="47"/>
    </row>
    <row r="458">
      <c r="A458" s="44"/>
      <c r="B458" s="45"/>
      <c r="C458" s="46"/>
      <c r="D458" s="47"/>
    </row>
    <row r="459">
      <c r="A459" s="44"/>
      <c r="B459" s="45"/>
      <c r="C459" s="46"/>
      <c r="D459" s="47"/>
    </row>
    <row r="460">
      <c r="A460" s="44"/>
      <c r="B460" s="45"/>
      <c r="C460" s="46"/>
      <c r="D460" s="47"/>
    </row>
    <row r="461">
      <c r="A461" s="44"/>
      <c r="B461" s="45"/>
      <c r="C461" s="46"/>
      <c r="D461" s="47"/>
    </row>
    <row r="462">
      <c r="A462" s="44"/>
      <c r="B462" s="45"/>
      <c r="C462" s="46"/>
      <c r="D462" s="47"/>
    </row>
    <row r="463">
      <c r="A463" s="44"/>
      <c r="B463" s="45"/>
      <c r="C463" s="46"/>
      <c r="D463" s="47"/>
    </row>
    <row r="464">
      <c r="A464" s="44"/>
      <c r="B464" s="45"/>
      <c r="C464" s="46"/>
      <c r="D464" s="47"/>
    </row>
    <row r="465">
      <c r="A465" s="44"/>
      <c r="B465" s="45"/>
      <c r="C465" s="46"/>
      <c r="D465" s="47"/>
    </row>
    <row r="466">
      <c r="A466" s="44"/>
      <c r="B466" s="45"/>
      <c r="C466" s="46"/>
      <c r="D466" s="47"/>
    </row>
    <row r="467">
      <c r="A467" s="44"/>
      <c r="B467" s="45"/>
      <c r="C467" s="46"/>
      <c r="D467" s="47"/>
    </row>
    <row r="468">
      <c r="A468" s="44"/>
      <c r="B468" s="45"/>
      <c r="C468" s="46"/>
      <c r="D468" s="47"/>
    </row>
    <row r="469">
      <c r="A469" s="44"/>
      <c r="B469" s="45"/>
      <c r="C469" s="46"/>
      <c r="D469" s="47"/>
    </row>
    <row r="470">
      <c r="A470" s="44"/>
      <c r="B470" s="45"/>
      <c r="C470" s="46"/>
      <c r="D470" s="47"/>
    </row>
    <row r="471">
      <c r="A471" s="44"/>
      <c r="B471" s="45"/>
      <c r="C471" s="46"/>
      <c r="D471" s="47"/>
    </row>
    <row r="472">
      <c r="A472" s="44"/>
      <c r="B472" s="45"/>
      <c r="C472" s="46"/>
      <c r="D472" s="47"/>
    </row>
    <row r="473">
      <c r="A473" s="44"/>
      <c r="B473" s="45"/>
      <c r="C473" s="46"/>
      <c r="D473" s="47"/>
    </row>
    <row r="474">
      <c r="A474" s="44"/>
      <c r="B474" s="45"/>
      <c r="C474" s="46"/>
      <c r="D474" s="47"/>
    </row>
    <row r="475">
      <c r="A475" s="44"/>
      <c r="B475" s="45"/>
      <c r="C475" s="46"/>
      <c r="D475" s="47"/>
    </row>
    <row r="476">
      <c r="A476" s="44"/>
      <c r="B476" s="45"/>
      <c r="C476" s="46"/>
      <c r="D476" s="47"/>
    </row>
    <row r="477">
      <c r="A477" s="44"/>
      <c r="B477" s="45"/>
      <c r="C477" s="46"/>
      <c r="D477" s="47"/>
    </row>
    <row r="478">
      <c r="A478" s="44"/>
      <c r="B478" s="45"/>
      <c r="C478" s="46"/>
      <c r="D478" s="47"/>
    </row>
    <row r="479">
      <c r="A479" s="44"/>
      <c r="B479" s="45"/>
      <c r="C479" s="46"/>
      <c r="D479" s="47"/>
    </row>
    <row r="480">
      <c r="A480" s="44"/>
      <c r="B480" s="45"/>
      <c r="C480" s="46"/>
      <c r="D480" s="47"/>
    </row>
    <row r="481">
      <c r="A481" s="44"/>
      <c r="B481" s="45"/>
      <c r="C481" s="46"/>
      <c r="D481" s="47"/>
    </row>
    <row r="482">
      <c r="A482" s="44"/>
      <c r="B482" s="45"/>
      <c r="C482" s="46"/>
      <c r="D482" s="47"/>
    </row>
    <row r="483">
      <c r="A483" s="44"/>
      <c r="B483" s="45"/>
      <c r="C483" s="46"/>
      <c r="D483" s="47"/>
    </row>
    <row r="484">
      <c r="A484" s="44"/>
      <c r="B484" s="45"/>
      <c r="C484" s="46"/>
      <c r="D484" s="47"/>
    </row>
    <row r="485">
      <c r="A485" s="44"/>
      <c r="B485" s="45"/>
      <c r="C485" s="46"/>
      <c r="D485" s="47"/>
    </row>
    <row r="486">
      <c r="A486" s="44"/>
      <c r="B486" s="45"/>
      <c r="C486" s="46"/>
      <c r="D486" s="47"/>
    </row>
    <row r="487">
      <c r="A487" s="44"/>
      <c r="B487" s="45"/>
      <c r="C487" s="46"/>
      <c r="D487" s="47"/>
    </row>
    <row r="488">
      <c r="A488" s="44"/>
      <c r="B488" s="45"/>
      <c r="C488" s="46"/>
      <c r="D488" s="47"/>
    </row>
    <row r="489">
      <c r="A489" s="44"/>
      <c r="B489" s="45"/>
      <c r="C489" s="46"/>
      <c r="D489" s="47"/>
    </row>
    <row r="490">
      <c r="A490" s="44"/>
      <c r="B490" s="45"/>
      <c r="C490" s="46"/>
      <c r="D490" s="47"/>
    </row>
    <row r="491">
      <c r="A491" s="44"/>
      <c r="B491" s="45"/>
      <c r="C491" s="46"/>
      <c r="D491" s="47"/>
    </row>
    <row r="492">
      <c r="A492" s="44"/>
      <c r="B492" s="45"/>
      <c r="C492" s="46"/>
      <c r="D492" s="47"/>
    </row>
    <row r="493">
      <c r="A493" s="44"/>
      <c r="B493" s="45"/>
      <c r="C493" s="46"/>
      <c r="D493" s="47"/>
    </row>
    <row r="494">
      <c r="A494" s="44"/>
      <c r="B494" s="45"/>
      <c r="C494" s="46"/>
      <c r="D494" s="47"/>
    </row>
    <row r="495">
      <c r="A495" s="44"/>
      <c r="B495" s="45"/>
      <c r="C495" s="46"/>
      <c r="D495" s="47"/>
    </row>
    <row r="496">
      <c r="A496" s="44"/>
      <c r="B496" s="45"/>
      <c r="C496" s="46"/>
      <c r="D496" s="47"/>
    </row>
    <row r="497">
      <c r="A497" s="44"/>
      <c r="B497" s="45"/>
      <c r="C497" s="46"/>
      <c r="D497" s="47"/>
    </row>
    <row r="498">
      <c r="A498" s="44"/>
      <c r="B498" s="45"/>
      <c r="C498" s="46"/>
      <c r="D498" s="47"/>
    </row>
    <row r="499">
      <c r="A499" s="44"/>
      <c r="B499" s="45"/>
      <c r="C499" s="46"/>
      <c r="D499" s="47"/>
    </row>
    <row r="500">
      <c r="A500" s="44"/>
      <c r="B500" s="45"/>
      <c r="C500" s="46"/>
      <c r="D500" s="47"/>
    </row>
    <row r="501">
      <c r="A501" s="44"/>
      <c r="B501" s="45"/>
      <c r="C501" s="46"/>
      <c r="D501" s="47"/>
    </row>
    <row r="502">
      <c r="A502" s="44"/>
      <c r="B502" s="45"/>
      <c r="C502" s="46"/>
      <c r="D502" s="47"/>
    </row>
    <row r="503">
      <c r="A503" s="44"/>
      <c r="B503" s="45"/>
      <c r="C503" s="46"/>
      <c r="D503" s="47"/>
    </row>
    <row r="504">
      <c r="A504" s="44"/>
      <c r="B504" s="45"/>
      <c r="C504" s="46"/>
      <c r="D504" s="47"/>
    </row>
    <row r="505">
      <c r="A505" s="44"/>
      <c r="B505" s="45"/>
      <c r="C505" s="46"/>
      <c r="D505" s="47"/>
    </row>
    <row r="506">
      <c r="A506" s="44"/>
      <c r="B506" s="45"/>
      <c r="C506" s="46"/>
      <c r="D506" s="47"/>
    </row>
    <row r="507">
      <c r="A507" s="44"/>
      <c r="B507" s="45"/>
      <c r="C507" s="46"/>
      <c r="D507" s="47"/>
    </row>
    <row r="508">
      <c r="A508" s="44"/>
      <c r="B508" s="45"/>
      <c r="C508" s="46"/>
      <c r="D508" s="47"/>
    </row>
    <row r="509">
      <c r="A509" s="44"/>
      <c r="B509" s="45"/>
      <c r="C509" s="46"/>
      <c r="D509" s="47"/>
    </row>
    <row r="510">
      <c r="A510" s="44"/>
      <c r="B510" s="45"/>
      <c r="C510" s="46"/>
      <c r="D510" s="47"/>
    </row>
    <row r="511">
      <c r="A511" s="44"/>
      <c r="B511" s="45"/>
      <c r="C511" s="46"/>
      <c r="D511" s="47"/>
    </row>
    <row r="512">
      <c r="A512" s="44"/>
      <c r="B512" s="45"/>
      <c r="C512" s="46"/>
      <c r="D512" s="47"/>
    </row>
    <row r="513">
      <c r="A513" s="44"/>
      <c r="B513" s="45"/>
      <c r="C513" s="46"/>
      <c r="D513" s="47"/>
    </row>
    <row r="514">
      <c r="A514" s="44"/>
      <c r="B514" s="45"/>
      <c r="C514" s="46"/>
      <c r="D514" s="47"/>
    </row>
    <row r="515">
      <c r="A515" s="44"/>
      <c r="B515" s="45"/>
      <c r="C515" s="46"/>
      <c r="D515" s="47"/>
    </row>
    <row r="516">
      <c r="A516" s="44"/>
      <c r="B516" s="45"/>
      <c r="C516" s="46"/>
      <c r="D516" s="47"/>
    </row>
    <row r="517">
      <c r="A517" s="44"/>
      <c r="B517" s="45"/>
      <c r="C517" s="46"/>
      <c r="D517" s="47"/>
    </row>
    <row r="518">
      <c r="A518" s="44"/>
      <c r="B518" s="45"/>
      <c r="C518" s="46"/>
      <c r="D518" s="47"/>
    </row>
    <row r="519">
      <c r="A519" s="44"/>
      <c r="B519" s="45"/>
      <c r="C519" s="46"/>
      <c r="D519" s="47"/>
    </row>
    <row r="520">
      <c r="A520" s="44"/>
      <c r="B520" s="45"/>
      <c r="C520" s="46"/>
      <c r="D520" s="47"/>
    </row>
    <row r="521">
      <c r="A521" s="44"/>
      <c r="B521" s="45"/>
      <c r="C521" s="46"/>
      <c r="D521" s="47"/>
    </row>
    <row r="522">
      <c r="A522" s="44"/>
      <c r="B522" s="45"/>
      <c r="C522" s="46"/>
      <c r="D522" s="47"/>
    </row>
    <row r="523">
      <c r="A523" s="44"/>
      <c r="B523" s="45"/>
      <c r="C523" s="46"/>
      <c r="D523" s="47"/>
    </row>
    <row r="524">
      <c r="A524" s="44"/>
      <c r="B524" s="45"/>
      <c r="C524" s="46"/>
      <c r="D524" s="47"/>
    </row>
    <row r="525">
      <c r="A525" s="44"/>
      <c r="B525" s="45"/>
      <c r="C525" s="46"/>
      <c r="D525" s="47"/>
    </row>
    <row r="526">
      <c r="A526" s="44"/>
      <c r="B526" s="45"/>
      <c r="C526" s="46"/>
      <c r="D526" s="47"/>
    </row>
    <row r="527">
      <c r="A527" s="44"/>
      <c r="B527" s="45"/>
      <c r="C527" s="46"/>
      <c r="D527" s="47"/>
    </row>
    <row r="528">
      <c r="A528" s="44"/>
      <c r="B528" s="45"/>
      <c r="C528" s="46"/>
      <c r="D528" s="47"/>
    </row>
    <row r="529">
      <c r="A529" s="44"/>
      <c r="B529" s="45"/>
      <c r="C529" s="46"/>
      <c r="D529" s="47"/>
    </row>
    <row r="530">
      <c r="A530" s="44"/>
      <c r="B530" s="45"/>
      <c r="C530" s="46"/>
      <c r="D530" s="47"/>
    </row>
    <row r="531">
      <c r="A531" s="44"/>
      <c r="B531" s="45"/>
      <c r="C531" s="46"/>
      <c r="D531" s="47"/>
    </row>
    <row r="532">
      <c r="A532" s="44"/>
      <c r="B532" s="45"/>
      <c r="C532" s="46"/>
      <c r="D532" s="47"/>
    </row>
    <row r="533">
      <c r="A533" s="44"/>
      <c r="B533" s="45"/>
      <c r="C533" s="46"/>
      <c r="D533" s="47"/>
    </row>
    <row r="534">
      <c r="A534" s="44"/>
      <c r="B534" s="45"/>
      <c r="C534" s="46"/>
      <c r="D534" s="47"/>
    </row>
    <row r="535">
      <c r="A535" s="44"/>
      <c r="B535" s="45"/>
      <c r="C535" s="46"/>
      <c r="D535" s="47"/>
    </row>
    <row r="536">
      <c r="A536" s="44"/>
      <c r="B536" s="45"/>
      <c r="C536" s="46"/>
      <c r="D536" s="47"/>
    </row>
    <row r="537">
      <c r="A537" s="44"/>
      <c r="B537" s="45"/>
      <c r="C537" s="46"/>
      <c r="D537" s="47"/>
    </row>
    <row r="538">
      <c r="A538" s="44"/>
      <c r="B538" s="45"/>
      <c r="C538" s="46"/>
      <c r="D538" s="47"/>
    </row>
    <row r="539">
      <c r="A539" s="44"/>
      <c r="B539" s="45"/>
      <c r="C539" s="46"/>
      <c r="D539" s="47"/>
    </row>
    <row r="540">
      <c r="A540" s="44"/>
      <c r="B540" s="45"/>
      <c r="C540" s="46"/>
      <c r="D540" s="47"/>
    </row>
    <row r="541">
      <c r="A541" s="44"/>
      <c r="B541" s="45"/>
      <c r="C541" s="46"/>
      <c r="D541" s="47"/>
    </row>
    <row r="542">
      <c r="A542" s="44"/>
      <c r="B542" s="45"/>
      <c r="C542" s="46"/>
      <c r="D542" s="47"/>
    </row>
    <row r="543">
      <c r="A543" s="44"/>
      <c r="B543" s="45"/>
      <c r="C543" s="46"/>
      <c r="D543" s="47"/>
    </row>
    <row r="544">
      <c r="A544" s="44"/>
      <c r="B544" s="45"/>
      <c r="C544" s="46"/>
      <c r="D544" s="47"/>
    </row>
    <row r="545">
      <c r="A545" s="44"/>
      <c r="B545" s="45"/>
      <c r="C545" s="46"/>
      <c r="D545" s="47"/>
    </row>
    <row r="546">
      <c r="A546" s="44"/>
      <c r="B546" s="45"/>
      <c r="C546" s="46"/>
      <c r="D546" s="47"/>
    </row>
    <row r="547">
      <c r="A547" s="44"/>
      <c r="B547" s="45"/>
      <c r="C547" s="46"/>
      <c r="D547" s="47"/>
    </row>
    <row r="548">
      <c r="A548" s="44"/>
      <c r="B548" s="45"/>
      <c r="C548" s="46"/>
      <c r="D548" s="47"/>
    </row>
    <row r="549">
      <c r="A549" s="44"/>
      <c r="B549" s="45"/>
      <c r="C549" s="46"/>
      <c r="D549" s="47"/>
    </row>
    <row r="550">
      <c r="A550" s="44"/>
      <c r="B550" s="45"/>
      <c r="C550" s="46"/>
      <c r="D550" s="47"/>
    </row>
    <row r="551">
      <c r="A551" s="44"/>
      <c r="B551" s="45"/>
      <c r="C551" s="46"/>
      <c r="D551" s="47"/>
    </row>
    <row r="552">
      <c r="A552" s="44"/>
      <c r="B552" s="45"/>
      <c r="C552" s="46"/>
      <c r="D552" s="47"/>
    </row>
    <row r="553">
      <c r="A553" s="44"/>
      <c r="B553" s="45"/>
      <c r="C553" s="46"/>
      <c r="D553" s="47"/>
    </row>
    <row r="554">
      <c r="A554" s="44"/>
      <c r="B554" s="45"/>
      <c r="C554" s="46"/>
      <c r="D554" s="47"/>
    </row>
    <row r="555">
      <c r="A555" s="44"/>
      <c r="B555" s="45"/>
      <c r="C555" s="46"/>
      <c r="D555" s="47"/>
    </row>
    <row r="556">
      <c r="A556" s="44"/>
      <c r="B556" s="45"/>
      <c r="C556" s="46"/>
      <c r="D556" s="47"/>
    </row>
    <row r="557">
      <c r="A557" s="44"/>
      <c r="B557" s="45"/>
      <c r="C557" s="46"/>
      <c r="D557" s="47"/>
    </row>
    <row r="558">
      <c r="A558" s="44"/>
      <c r="B558" s="45"/>
      <c r="C558" s="46"/>
      <c r="D558" s="47"/>
    </row>
    <row r="559">
      <c r="A559" s="44"/>
      <c r="B559" s="45"/>
      <c r="C559" s="46"/>
      <c r="D559" s="47"/>
    </row>
    <row r="560">
      <c r="A560" s="44"/>
      <c r="B560" s="45"/>
      <c r="C560" s="46"/>
      <c r="D560" s="47"/>
    </row>
    <row r="561">
      <c r="A561" s="44"/>
      <c r="B561" s="45"/>
      <c r="C561" s="46"/>
      <c r="D561" s="47"/>
    </row>
    <row r="562">
      <c r="A562" s="44"/>
      <c r="B562" s="45"/>
      <c r="C562" s="46"/>
      <c r="D562" s="47"/>
    </row>
    <row r="563">
      <c r="A563" s="44"/>
      <c r="B563" s="45"/>
      <c r="C563" s="46"/>
      <c r="D563" s="47"/>
    </row>
    <row r="564">
      <c r="A564" s="44"/>
      <c r="B564" s="45"/>
      <c r="C564" s="46"/>
      <c r="D564" s="47"/>
    </row>
    <row r="565">
      <c r="A565" s="44"/>
      <c r="B565" s="45"/>
      <c r="C565" s="46"/>
      <c r="D565" s="47"/>
    </row>
    <row r="566">
      <c r="A566" s="44"/>
      <c r="B566" s="45"/>
      <c r="C566" s="46"/>
      <c r="D566" s="47"/>
    </row>
    <row r="567">
      <c r="A567" s="44"/>
      <c r="B567" s="45"/>
      <c r="C567" s="46"/>
      <c r="D567" s="47"/>
    </row>
    <row r="568">
      <c r="A568" s="44"/>
      <c r="B568" s="45"/>
      <c r="C568" s="46"/>
      <c r="D568" s="47"/>
    </row>
    <row r="569">
      <c r="A569" s="44"/>
      <c r="B569" s="45"/>
      <c r="C569" s="46"/>
      <c r="D569" s="47"/>
    </row>
    <row r="570">
      <c r="A570" s="44"/>
      <c r="B570" s="45"/>
      <c r="C570" s="46"/>
      <c r="D570" s="47"/>
    </row>
    <row r="571">
      <c r="A571" s="44"/>
      <c r="B571" s="45"/>
      <c r="C571" s="46"/>
      <c r="D571" s="47"/>
    </row>
    <row r="572">
      <c r="A572" s="44"/>
      <c r="B572" s="45"/>
      <c r="C572" s="46"/>
      <c r="D572" s="47"/>
    </row>
    <row r="573">
      <c r="A573" s="44"/>
      <c r="B573" s="45"/>
      <c r="C573" s="46"/>
      <c r="D573" s="47"/>
    </row>
    <row r="574">
      <c r="A574" s="44"/>
      <c r="B574" s="45"/>
      <c r="C574" s="46"/>
      <c r="D574" s="47"/>
    </row>
    <row r="575">
      <c r="A575" s="44"/>
      <c r="B575" s="45"/>
      <c r="C575" s="46"/>
      <c r="D575" s="47"/>
    </row>
    <row r="576">
      <c r="A576" s="44"/>
      <c r="B576" s="45"/>
      <c r="C576" s="46"/>
      <c r="D576" s="47"/>
    </row>
    <row r="577">
      <c r="A577" s="44"/>
      <c r="B577" s="45"/>
      <c r="C577" s="46"/>
      <c r="D577" s="47"/>
    </row>
    <row r="578">
      <c r="A578" s="44"/>
      <c r="B578" s="45"/>
      <c r="C578" s="46"/>
      <c r="D578" s="47"/>
    </row>
    <row r="579">
      <c r="A579" s="44"/>
      <c r="B579" s="45"/>
      <c r="C579" s="46"/>
      <c r="D579" s="47"/>
    </row>
    <row r="580">
      <c r="A580" s="44"/>
      <c r="B580" s="45"/>
      <c r="C580" s="46"/>
      <c r="D580" s="47"/>
    </row>
    <row r="581">
      <c r="A581" s="44"/>
      <c r="B581" s="45"/>
      <c r="C581" s="46"/>
      <c r="D581" s="47"/>
    </row>
    <row r="582">
      <c r="A582" s="44"/>
      <c r="B582" s="45"/>
      <c r="C582" s="46"/>
      <c r="D582" s="47"/>
    </row>
    <row r="583">
      <c r="A583" s="44"/>
      <c r="B583" s="45"/>
      <c r="C583" s="46"/>
      <c r="D583" s="47"/>
    </row>
    <row r="584">
      <c r="A584" s="44"/>
      <c r="B584" s="45"/>
      <c r="C584" s="46"/>
      <c r="D584" s="47"/>
    </row>
    <row r="585">
      <c r="A585" s="44"/>
      <c r="B585" s="45"/>
      <c r="C585" s="46"/>
      <c r="D585" s="47"/>
    </row>
    <row r="586">
      <c r="A586" s="44"/>
      <c r="B586" s="45"/>
      <c r="C586" s="46"/>
      <c r="D586" s="47"/>
    </row>
    <row r="587">
      <c r="A587" s="44"/>
      <c r="B587" s="45"/>
      <c r="C587" s="46"/>
      <c r="D587" s="47"/>
    </row>
    <row r="588">
      <c r="A588" s="44"/>
      <c r="B588" s="45"/>
      <c r="C588" s="46"/>
      <c r="D588" s="47"/>
    </row>
    <row r="589">
      <c r="A589" s="44"/>
      <c r="B589" s="45"/>
      <c r="C589" s="46"/>
      <c r="D589" s="47"/>
    </row>
    <row r="590">
      <c r="A590" s="44"/>
      <c r="B590" s="45"/>
      <c r="C590" s="46"/>
      <c r="D590" s="47"/>
    </row>
    <row r="591">
      <c r="A591" s="44"/>
      <c r="B591" s="45"/>
      <c r="C591" s="46"/>
      <c r="D591" s="47"/>
    </row>
    <row r="592">
      <c r="A592" s="44"/>
      <c r="B592" s="45"/>
      <c r="C592" s="46"/>
      <c r="D592" s="47"/>
    </row>
    <row r="593">
      <c r="A593" s="44"/>
      <c r="B593" s="45"/>
      <c r="C593" s="46"/>
      <c r="D593" s="47"/>
    </row>
    <row r="594">
      <c r="A594" s="44"/>
      <c r="B594" s="45"/>
      <c r="C594" s="46"/>
      <c r="D594" s="47"/>
    </row>
    <row r="595">
      <c r="A595" s="44"/>
      <c r="B595" s="45"/>
      <c r="C595" s="46"/>
      <c r="D595" s="47"/>
    </row>
    <row r="596">
      <c r="A596" s="44"/>
      <c r="B596" s="45"/>
      <c r="C596" s="46"/>
      <c r="D596" s="47"/>
    </row>
    <row r="597">
      <c r="A597" s="44"/>
      <c r="B597" s="45"/>
      <c r="C597" s="46"/>
      <c r="D597" s="47"/>
    </row>
    <row r="598">
      <c r="A598" s="44"/>
      <c r="B598" s="45"/>
      <c r="C598" s="46"/>
      <c r="D598" s="47"/>
    </row>
    <row r="599">
      <c r="A599" s="44"/>
      <c r="B599" s="45"/>
      <c r="C599" s="46"/>
      <c r="D599" s="47"/>
    </row>
    <row r="600">
      <c r="A600" s="44"/>
      <c r="B600" s="45"/>
      <c r="C600" s="46"/>
      <c r="D600" s="47"/>
    </row>
    <row r="601">
      <c r="A601" s="44"/>
      <c r="B601" s="45"/>
      <c r="C601" s="46"/>
      <c r="D601" s="47"/>
    </row>
    <row r="602">
      <c r="A602" s="44"/>
      <c r="B602" s="45"/>
      <c r="C602" s="46"/>
      <c r="D602" s="47"/>
    </row>
    <row r="603">
      <c r="A603" s="44"/>
      <c r="B603" s="45"/>
      <c r="C603" s="46"/>
      <c r="D603" s="47"/>
    </row>
    <row r="604">
      <c r="A604" s="44"/>
      <c r="B604" s="45"/>
      <c r="C604" s="46"/>
      <c r="D604" s="47"/>
    </row>
    <row r="605">
      <c r="A605" s="44"/>
      <c r="B605" s="45"/>
      <c r="C605" s="46"/>
      <c r="D605" s="47"/>
    </row>
    <row r="606">
      <c r="A606" s="44"/>
      <c r="B606" s="45"/>
      <c r="C606" s="46"/>
      <c r="D606" s="47"/>
    </row>
    <row r="607">
      <c r="A607" s="44"/>
      <c r="B607" s="45"/>
      <c r="C607" s="46"/>
      <c r="D607" s="47"/>
    </row>
    <row r="608">
      <c r="A608" s="44"/>
      <c r="B608" s="45"/>
      <c r="C608" s="46"/>
      <c r="D608" s="47"/>
    </row>
    <row r="609">
      <c r="A609" s="44"/>
      <c r="B609" s="45"/>
      <c r="C609" s="46"/>
      <c r="D609" s="47"/>
    </row>
    <row r="610">
      <c r="A610" s="44"/>
      <c r="B610" s="45"/>
      <c r="C610" s="46"/>
      <c r="D610" s="47"/>
    </row>
    <row r="611">
      <c r="A611" s="44"/>
      <c r="B611" s="45"/>
      <c r="C611" s="46"/>
      <c r="D611" s="47"/>
    </row>
    <row r="612">
      <c r="A612" s="44"/>
      <c r="B612" s="45"/>
      <c r="C612" s="46"/>
      <c r="D612" s="47"/>
    </row>
    <row r="613">
      <c r="A613" s="44"/>
      <c r="B613" s="45"/>
      <c r="C613" s="46"/>
      <c r="D613" s="47"/>
    </row>
    <row r="614">
      <c r="A614" s="44"/>
      <c r="B614" s="45"/>
      <c r="C614" s="46"/>
      <c r="D614" s="47"/>
    </row>
    <row r="615">
      <c r="A615" s="44"/>
      <c r="B615" s="45"/>
      <c r="C615" s="46"/>
      <c r="D615" s="47"/>
    </row>
    <row r="616">
      <c r="A616" s="44"/>
      <c r="B616" s="45"/>
      <c r="C616" s="46"/>
      <c r="D616" s="47"/>
    </row>
    <row r="617">
      <c r="A617" s="44"/>
      <c r="B617" s="45"/>
      <c r="C617" s="46"/>
      <c r="D617" s="47"/>
    </row>
    <row r="618">
      <c r="A618" s="44"/>
      <c r="B618" s="45"/>
      <c r="C618" s="46"/>
      <c r="D618" s="47"/>
    </row>
    <row r="619">
      <c r="A619" s="44"/>
      <c r="B619" s="45"/>
      <c r="C619" s="46"/>
      <c r="D619" s="47"/>
    </row>
    <row r="620">
      <c r="A620" s="44"/>
      <c r="B620" s="45"/>
      <c r="C620" s="46"/>
      <c r="D620" s="47"/>
    </row>
    <row r="621">
      <c r="A621" s="44"/>
      <c r="B621" s="45"/>
      <c r="C621" s="46"/>
      <c r="D621" s="47"/>
    </row>
    <row r="622">
      <c r="A622" s="44"/>
      <c r="B622" s="45"/>
      <c r="C622" s="46"/>
      <c r="D622" s="47"/>
    </row>
    <row r="623">
      <c r="A623" s="44"/>
      <c r="B623" s="45"/>
      <c r="C623" s="46"/>
      <c r="D623" s="47"/>
    </row>
    <row r="624">
      <c r="A624" s="44"/>
      <c r="B624" s="45"/>
      <c r="C624" s="46"/>
      <c r="D624" s="47"/>
    </row>
    <row r="625">
      <c r="A625" s="44"/>
      <c r="B625" s="45"/>
      <c r="C625" s="46"/>
      <c r="D625" s="47"/>
    </row>
    <row r="626">
      <c r="A626" s="44"/>
      <c r="B626" s="45"/>
      <c r="C626" s="46"/>
      <c r="D626" s="47"/>
    </row>
    <row r="627">
      <c r="A627" s="44"/>
      <c r="B627" s="45"/>
      <c r="C627" s="46"/>
      <c r="D627" s="47"/>
    </row>
    <row r="628">
      <c r="A628" s="44"/>
      <c r="B628" s="45"/>
      <c r="C628" s="46"/>
      <c r="D628" s="47"/>
    </row>
    <row r="629">
      <c r="A629" s="44"/>
      <c r="B629" s="45"/>
      <c r="C629" s="46"/>
      <c r="D629" s="47"/>
    </row>
    <row r="630">
      <c r="A630" s="44"/>
      <c r="B630" s="45"/>
      <c r="C630" s="46"/>
      <c r="D630" s="47"/>
    </row>
    <row r="631">
      <c r="A631" s="44"/>
      <c r="B631" s="45"/>
      <c r="C631" s="46"/>
      <c r="D631" s="47"/>
    </row>
    <row r="632">
      <c r="A632" s="44"/>
      <c r="B632" s="45"/>
      <c r="C632" s="46"/>
      <c r="D632" s="47"/>
    </row>
    <row r="633">
      <c r="A633" s="44"/>
      <c r="B633" s="45"/>
      <c r="C633" s="46"/>
      <c r="D633" s="47"/>
    </row>
    <row r="634">
      <c r="A634" s="44"/>
      <c r="B634" s="45"/>
      <c r="C634" s="46"/>
      <c r="D634" s="47"/>
    </row>
    <row r="635">
      <c r="A635" s="44"/>
      <c r="B635" s="45"/>
      <c r="C635" s="46"/>
      <c r="D635" s="47"/>
    </row>
    <row r="636">
      <c r="A636" s="44"/>
      <c r="B636" s="45"/>
      <c r="C636" s="46"/>
      <c r="D636" s="47"/>
    </row>
    <row r="637">
      <c r="A637" s="44"/>
      <c r="B637" s="45"/>
      <c r="C637" s="46"/>
      <c r="D637" s="47"/>
    </row>
    <row r="638">
      <c r="A638" s="44"/>
      <c r="B638" s="45"/>
      <c r="C638" s="46"/>
      <c r="D638" s="47"/>
    </row>
    <row r="639">
      <c r="A639" s="44"/>
      <c r="B639" s="45"/>
      <c r="C639" s="46"/>
      <c r="D639" s="47"/>
    </row>
    <row r="640">
      <c r="A640" s="44"/>
      <c r="B640" s="45"/>
      <c r="C640" s="46"/>
      <c r="D640" s="47"/>
    </row>
    <row r="641">
      <c r="A641" s="44"/>
      <c r="B641" s="45"/>
      <c r="C641" s="46"/>
      <c r="D641" s="47"/>
    </row>
    <row r="642">
      <c r="A642" s="44"/>
      <c r="B642" s="45"/>
      <c r="C642" s="46"/>
      <c r="D642" s="47"/>
    </row>
    <row r="643">
      <c r="A643" s="44"/>
      <c r="B643" s="45"/>
      <c r="C643" s="46"/>
      <c r="D643" s="47"/>
    </row>
    <row r="644">
      <c r="A644" s="44"/>
      <c r="B644" s="45"/>
      <c r="C644" s="46"/>
      <c r="D644" s="47"/>
    </row>
    <row r="645">
      <c r="A645" s="44"/>
      <c r="B645" s="45"/>
      <c r="C645" s="46"/>
      <c r="D645" s="47"/>
    </row>
    <row r="646">
      <c r="A646" s="44"/>
      <c r="B646" s="45"/>
      <c r="C646" s="46"/>
      <c r="D646" s="47"/>
    </row>
    <row r="647">
      <c r="A647" s="44"/>
      <c r="B647" s="45"/>
      <c r="C647" s="46"/>
      <c r="D647" s="47"/>
    </row>
    <row r="648">
      <c r="A648" s="44"/>
      <c r="B648" s="45"/>
      <c r="C648" s="46"/>
      <c r="D648" s="47"/>
    </row>
    <row r="649">
      <c r="A649" s="44"/>
      <c r="B649" s="45"/>
      <c r="C649" s="46"/>
      <c r="D649" s="47"/>
    </row>
    <row r="650">
      <c r="A650" s="44"/>
      <c r="B650" s="45"/>
      <c r="C650" s="46"/>
      <c r="D650" s="47"/>
    </row>
    <row r="651">
      <c r="A651" s="44"/>
      <c r="B651" s="45"/>
      <c r="C651" s="46"/>
      <c r="D651" s="47"/>
    </row>
    <row r="652">
      <c r="A652" s="44"/>
      <c r="B652" s="45"/>
      <c r="C652" s="46"/>
      <c r="D652" s="47"/>
    </row>
    <row r="653">
      <c r="A653" s="44"/>
      <c r="B653" s="45"/>
      <c r="C653" s="46"/>
      <c r="D653" s="47"/>
    </row>
    <row r="654">
      <c r="A654" s="44"/>
      <c r="B654" s="45"/>
      <c r="C654" s="46"/>
      <c r="D654" s="47"/>
    </row>
    <row r="655">
      <c r="A655" s="44"/>
      <c r="B655" s="45"/>
      <c r="C655" s="46"/>
      <c r="D655" s="47"/>
    </row>
    <row r="656">
      <c r="A656" s="44"/>
      <c r="B656" s="45"/>
      <c r="C656" s="46"/>
      <c r="D656" s="47"/>
    </row>
    <row r="657">
      <c r="A657" s="44"/>
      <c r="B657" s="45"/>
      <c r="C657" s="46"/>
      <c r="D657" s="47"/>
    </row>
    <row r="658">
      <c r="A658" s="44"/>
      <c r="B658" s="45"/>
      <c r="C658" s="46"/>
      <c r="D658" s="47"/>
    </row>
    <row r="659">
      <c r="A659" s="44"/>
      <c r="B659" s="45"/>
      <c r="C659" s="46"/>
      <c r="D659" s="47"/>
    </row>
    <row r="660">
      <c r="A660" s="44"/>
      <c r="B660" s="45"/>
      <c r="C660" s="46"/>
      <c r="D660" s="47"/>
    </row>
    <row r="661">
      <c r="A661" s="44"/>
      <c r="B661" s="45"/>
      <c r="C661" s="46"/>
      <c r="D661" s="47"/>
    </row>
    <row r="662">
      <c r="A662" s="44"/>
      <c r="B662" s="45"/>
      <c r="C662" s="46"/>
      <c r="D662" s="47"/>
    </row>
    <row r="663">
      <c r="A663" s="44"/>
      <c r="B663" s="45"/>
      <c r="C663" s="46"/>
      <c r="D663" s="47"/>
    </row>
    <row r="664">
      <c r="A664" s="44"/>
      <c r="B664" s="45"/>
      <c r="C664" s="46"/>
      <c r="D664" s="47"/>
    </row>
    <row r="665">
      <c r="A665" s="44"/>
      <c r="B665" s="45"/>
      <c r="C665" s="46"/>
      <c r="D665" s="47"/>
    </row>
    <row r="666">
      <c r="A666" s="44"/>
      <c r="B666" s="45"/>
      <c r="C666" s="46"/>
      <c r="D666" s="47"/>
    </row>
    <row r="667">
      <c r="A667" s="44"/>
      <c r="B667" s="45"/>
      <c r="C667" s="46"/>
      <c r="D667" s="47"/>
    </row>
    <row r="668">
      <c r="A668" s="44"/>
      <c r="B668" s="45"/>
      <c r="C668" s="46"/>
      <c r="D668" s="47"/>
    </row>
    <row r="669">
      <c r="A669" s="44"/>
      <c r="B669" s="45"/>
      <c r="C669" s="46"/>
      <c r="D669" s="47"/>
    </row>
    <row r="670">
      <c r="A670" s="44"/>
      <c r="B670" s="45"/>
      <c r="C670" s="46"/>
      <c r="D670" s="47"/>
    </row>
    <row r="671">
      <c r="A671" s="44"/>
      <c r="B671" s="45"/>
      <c r="C671" s="46"/>
      <c r="D671" s="47"/>
    </row>
    <row r="672">
      <c r="A672" s="44"/>
      <c r="B672" s="45"/>
      <c r="C672" s="46"/>
      <c r="D672" s="47"/>
    </row>
    <row r="673">
      <c r="A673" s="44"/>
      <c r="B673" s="45"/>
      <c r="C673" s="46"/>
      <c r="D673" s="47"/>
    </row>
    <row r="674">
      <c r="A674" s="44"/>
      <c r="B674" s="45"/>
      <c r="C674" s="46"/>
      <c r="D674" s="47"/>
    </row>
    <row r="675">
      <c r="A675" s="44"/>
      <c r="B675" s="45"/>
      <c r="C675" s="46"/>
      <c r="D675" s="47"/>
    </row>
    <row r="676">
      <c r="A676" s="44"/>
      <c r="B676" s="45"/>
      <c r="C676" s="46"/>
      <c r="D676" s="47"/>
    </row>
    <row r="677">
      <c r="A677" s="44"/>
      <c r="B677" s="45"/>
      <c r="C677" s="46"/>
      <c r="D677" s="47"/>
    </row>
    <row r="678">
      <c r="A678" s="44"/>
      <c r="B678" s="45"/>
      <c r="C678" s="46"/>
      <c r="D678" s="47"/>
    </row>
    <row r="679">
      <c r="A679" s="44"/>
      <c r="B679" s="45"/>
      <c r="C679" s="46"/>
      <c r="D679" s="47"/>
    </row>
    <row r="680">
      <c r="A680" s="44"/>
      <c r="B680" s="45"/>
      <c r="C680" s="46"/>
      <c r="D680" s="47"/>
    </row>
    <row r="681">
      <c r="A681" s="44"/>
      <c r="B681" s="45"/>
      <c r="C681" s="46"/>
      <c r="D681" s="47"/>
    </row>
    <row r="682">
      <c r="A682" s="44"/>
      <c r="B682" s="45"/>
      <c r="C682" s="46"/>
      <c r="D682" s="47"/>
    </row>
    <row r="683">
      <c r="A683" s="44"/>
      <c r="B683" s="45"/>
      <c r="C683" s="46"/>
      <c r="D683" s="47"/>
    </row>
    <row r="684">
      <c r="A684" s="44"/>
      <c r="B684" s="45"/>
      <c r="C684" s="46"/>
      <c r="D684" s="47"/>
    </row>
    <row r="685">
      <c r="A685" s="44"/>
      <c r="B685" s="45"/>
      <c r="C685" s="46"/>
      <c r="D685" s="47"/>
    </row>
    <row r="686">
      <c r="A686" s="44"/>
      <c r="B686" s="45"/>
      <c r="C686" s="46"/>
      <c r="D686" s="47"/>
    </row>
    <row r="687">
      <c r="A687" s="44"/>
      <c r="B687" s="45"/>
      <c r="C687" s="46"/>
      <c r="D687" s="47"/>
    </row>
    <row r="688">
      <c r="A688" s="44"/>
      <c r="B688" s="45"/>
      <c r="C688" s="46"/>
      <c r="D688" s="47"/>
    </row>
    <row r="689">
      <c r="A689" s="44"/>
      <c r="B689" s="45"/>
      <c r="C689" s="46"/>
      <c r="D689" s="47"/>
    </row>
    <row r="690">
      <c r="A690" s="44"/>
      <c r="B690" s="45"/>
      <c r="C690" s="46"/>
      <c r="D690" s="47"/>
    </row>
    <row r="691">
      <c r="A691" s="44"/>
      <c r="B691" s="45"/>
      <c r="C691" s="46"/>
      <c r="D691" s="47"/>
    </row>
    <row r="692">
      <c r="A692" s="44"/>
      <c r="B692" s="45"/>
      <c r="C692" s="46"/>
      <c r="D692" s="47"/>
    </row>
    <row r="693">
      <c r="A693" s="44"/>
      <c r="B693" s="45"/>
      <c r="C693" s="46"/>
      <c r="D693" s="47"/>
    </row>
    <row r="694">
      <c r="A694" s="44"/>
      <c r="B694" s="45"/>
      <c r="C694" s="46"/>
      <c r="D694" s="47"/>
    </row>
    <row r="695">
      <c r="A695" s="44"/>
      <c r="B695" s="45"/>
      <c r="C695" s="46"/>
      <c r="D695" s="47"/>
    </row>
    <row r="696">
      <c r="A696" s="44"/>
      <c r="B696" s="45"/>
      <c r="C696" s="46"/>
      <c r="D696" s="47"/>
    </row>
    <row r="697">
      <c r="A697" s="44"/>
      <c r="B697" s="45"/>
      <c r="C697" s="46"/>
      <c r="D697" s="47"/>
    </row>
    <row r="698">
      <c r="A698" s="44"/>
      <c r="B698" s="45"/>
      <c r="C698" s="46"/>
      <c r="D698" s="47"/>
    </row>
    <row r="699">
      <c r="A699" s="44"/>
      <c r="B699" s="45"/>
      <c r="C699" s="46"/>
      <c r="D699" s="47"/>
    </row>
    <row r="700">
      <c r="A700" s="44"/>
      <c r="B700" s="45"/>
      <c r="C700" s="46"/>
      <c r="D700" s="47"/>
    </row>
    <row r="701">
      <c r="A701" s="44"/>
      <c r="B701" s="45"/>
      <c r="C701" s="46"/>
      <c r="D701" s="47"/>
    </row>
    <row r="702">
      <c r="A702" s="44"/>
      <c r="B702" s="45"/>
      <c r="C702" s="46"/>
      <c r="D702" s="47"/>
    </row>
    <row r="703">
      <c r="A703" s="44"/>
      <c r="B703" s="45"/>
      <c r="C703" s="46"/>
      <c r="D703" s="47"/>
    </row>
    <row r="704">
      <c r="A704" s="44"/>
      <c r="B704" s="45"/>
      <c r="C704" s="46"/>
      <c r="D704" s="47"/>
    </row>
    <row r="705">
      <c r="A705" s="44"/>
      <c r="B705" s="45"/>
      <c r="C705" s="46"/>
      <c r="D705" s="47"/>
    </row>
    <row r="706">
      <c r="A706" s="44"/>
      <c r="B706" s="45"/>
      <c r="C706" s="46"/>
      <c r="D706" s="47"/>
    </row>
    <row r="707">
      <c r="A707" s="44"/>
      <c r="B707" s="45"/>
      <c r="C707" s="46"/>
      <c r="D707" s="47"/>
    </row>
    <row r="708">
      <c r="A708" s="44"/>
      <c r="B708" s="45"/>
      <c r="C708" s="46"/>
      <c r="D708" s="47"/>
    </row>
    <row r="709">
      <c r="A709" s="44"/>
      <c r="B709" s="45"/>
      <c r="C709" s="46"/>
      <c r="D709" s="47"/>
    </row>
    <row r="710">
      <c r="A710" s="44"/>
      <c r="B710" s="45"/>
      <c r="C710" s="46"/>
      <c r="D710" s="47"/>
    </row>
    <row r="711">
      <c r="A711" s="44"/>
      <c r="B711" s="45"/>
      <c r="C711" s="46"/>
      <c r="D711" s="47"/>
    </row>
    <row r="712">
      <c r="A712" s="44"/>
      <c r="B712" s="45"/>
      <c r="C712" s="46"/>
      <c r="D712" s="47"/>
    </row>
    <row r="713">
      <c r="A713" s="44"/>
      <c r="B713" s="45"/>
      <c r="C713" s="46"/>
      <c r="D713" s="47"/>
    </row>
    <row r="714">
      <c r="A714" s="44"/>
      <c r="B714" s="45"/>
      <c r="C714" s="46"/>
      <c r="D714" s="47"/>
    </row>
    <row r="715">
      <c r="A715" s="44"/>
      <c r="B715" s="45"/>
      <c r="C715" s="46"/>
      <c r="D715" s="47"/>
    </row>
    <row r="716">
      <c r="A716" s="44"/>
      <c r="B716" s="45"/>
      <c r="C716" s="46"/>
      <c r="D716" s="47"/>
    </row>
    <row r="717">
      <c r="A717" s="44"/>
      <c r="B717" s="45"/>
      <c r="C717" s="46"/>
      <c r="D717" s="47"/>
    </row>
    <row r="718">
      <c r="A718" s="44"/>
      <c r="B718" s="45"/>
      <c r="C718" s="46"/>
      <c r="D718" s="47"/>
    </row>
    <row r="719">
      <c r="A719" s="44"/>
      <c r="B719" s="45"/>
      <c r="C719" s="46"/>
      <c r="D719" s="47"/>
    </row>
    <row r="720">
      <c r="A720" s="44"/>
      <c r="B720" s="45"/>
      <c r="C720" s="46"/>
      <c r="D720" s="47"/>
    </row>
    <row r="721">
      <c r="A721" s="44"/>
      <c r="B721" s="45"/>
      <c r="C721" s="46"/>
      <c r="D721" s="47"/>
    </row>
    <row r="722">
      <c r="A722" s="44"/>
      <c r="B722" s="45"/>
      <c r="C722" s="46"/>
      <c r="D722" s="47"/>
    </row>
    <row r="723">
      <c r="A723" s="44"/>
      <c r="B723" s="45"/>
      <c r="C723" s="46"/>
      <c r="D723" s="47"/>
    </row>
    <row r="724">
      <c r="A724" s="44"/>
      <c r="B724" s="45"/>
      <c r="C724" s="46"/>
      <c r="D724" s="47"/>
    </row>
    <row r="725">
      <c r="A725" s="44"/>
      <c r="B725" s="45"/>
      <c r="C725" s="46"/>
      <c r="D725" s="47"/>
    </row>
    <row r="726">
      <c r="A726" s="44"/>
      <c r="B726" s="45"/>
      <c r="C726" s="46"/>
      <c r="D726" s="47"/>
    </row>
    <row r="727">
      <c r="A727" s="44"/>
      <c r="B727" s="45"/>
      <c r="C727" s="46"/>
      <c r="D727" s="47"/>
    </row>
    <row r="728">
      <c r="A728" s="44"/>
      <c r="B728" s="45"/>
      <c r="C728" s="46"/>
      <c r="D728" s="47"/>
    </row>
    <row r="729">
      <c r="A729" s="44"/>
      <c r="B729" s="45"/>
      <c r="C729" s="46"/>
      <c r="D729" s="47"/>
    </row>
    <row r="730">
      <c r="A730" s="44"/>
      <c r="B730" s="45"/>
      <c r="C730" s="46"/>
      <c r="D730" s="47"/>
    </row>
    <row r="731">
      <c r="A731" s="44"/>
      <c r="B731" s="45"/>
      <c r="C731" s="46"/>
      <c r="D731" s="47"/>
    </row>
    <row r="732">
      <c r="A732" s="44"/>
      <c r="B732" s="45"/>
      <c r="C732" s="46"/>
      <c r="D732" s="47"/>
    </row>
    <row r="733">
      <c r="A733" s="44"/>
      <c r="B733" s="45"/>
      <c r="C733" s="46"/>
      <c r="D733" s="47"/>
    </row>
    <row r="734">
      <c r="A734" s="44"/>
      <c r="B734" s="45"/>
      <c r="C734" s="46"/>
      <c r="D734" s="47"/>
    </row>
    <row r="735">
      <c r="A735" s="44"/>
      <c r="B735" s="45"/>
      <c r="C735" s="46"/>
      <c r="D735" s="47"/>
    </row>
    <row r="736">
      <c r="A736" s="44"/>
      <c r="B736" s="45"/>
      <c r="C736" s="46"/>
      <c r="D736" s="47"/>
    </row>
    <row r="737">
      <c r="A737" s="44"/>
      <c r="B737" s="45"/>
      <c r="C737" s="46"/>
      <c r="D737" s="47"/>
    </row>
    <row r="738">
      <c r="A738" s="44"/>
      <c r="B738" s="45"/>
      <c r="C738" s="46"/>
      <c r="D738" s="47"/>
    </row>
    <row r="739">
      <c r="A739" s="44"/>
      <c r="B739" s="45"/>
      <c r="C739" s="46"/>
      <c r="D739" s="47"/>
    </row>
    <row r="740">
      <c r="A740" s="44"/>
      <c r="B740" s="45"/>
      <c r="C740" s="46"/>
      <c r="D740" s="47"/>
    </row>
    <row r="741">
      <c r="A741" s="44"/>
      <c r="B741" s="45"/>
      <c r="C741" s="46"/>
      <c r="D741" s="47"/>
    </row>
    <row r="742">
      <c r="A742" s="44"/>
      <c r="B742" s="45"/>
      <c r="C742" s="46"/>
      <c r="D742" s="47"/>
    </row>
    <row r="743">
      <c r="A743" s="44"/>
      <c r="B743" s="45"/>
      <c r="C743" s="46"/>
      <c r="D743" s="47"/>
    </row>
    <row r="744">
      <c r="A744" s="44"/>
      <c r="B744" s="45"/>
      <c r="C744" s="46"/>
      <c r="D744" s="47"/>
    </row>
    <row r="745">
      <c r="A745" s="44"/>
      <c r="B745" s="45"/>
      <c r="C745" s="46"/>
      <c r="D745" s="47"/>
    </row>
    <row r="746">
      <c r="A746" s="44"/>
      <c r="B746" s="45"/>
      <c r="C746" s="46"/>
      <c r="D746" s="47"/>
    </row>
    <row r="747">
      <c r="A747" s="44"/>
      <c r="B747" s="45"/>
      <c r="C747" s="46"/>
      <c r="D747" s="47"/>
    </row>
    <row r="748">
      <c r="A748" s="44"/>
      <c r="B748" s="45"/>
      <c r="C748" s="46"/>
      <c r="D748" s="47"/>
    </row>
    <row r="749">
      <c r="A749" s="44"/>
      <c r="B749" s="45"/>
      <c r="C749" s="46"/>
      <c r="D749" s="47"/>
    </row>
    <row r="750">
      <c r="A750" s="44"/>
      <c r="B750" s="45"/>
      <c r="C750" s="46"/>
      <c r="D750" s="47"/>
    </row>
    <row r="751">
      <c r="A751" s="44"/>
      <c r="B751" s="45"/>
      <c r="C751" s="46"/>
      <c r="D751" s="47"/>
    </row>
    <row r="752">
      <c r="A752" s="44"/>
      <c r="B752" s="45"/>
      <c r="C752" s="46"/>
      <c r="D752" s="47"/>
    </row>
    <row r="753">
      <c r="A753" s="44"/>
      <c r="B753" s="45"/>
      <c r="C753" s="46"/>
      <c r="D753" s="47"/>
    </row>
    <row r="754">
      <c r="A754" s="44"/>
      <c r="B754" s="45"/>
      <c r="C754" s="46"/>
      <c r="D754" s="47"/>
    </row>
    <row r="755">
      <c r="A755" s="44"/>
      <c r="B755" s="45"/>
      <c r="C755" s="46"/>
      <c r="D755" s="47"/>
    </row>
    <row r="756">
      <c r="A756" s="44"/>
      <c r="B756" s="45"/>
      <c r="C756" s="46"/>
      <c r="D756" s="47"/>
    </row>
    <row r="757">
      <c r="A757" s="44"/>
      <c r="B757" s="45"/>
      <c r="C757" s="46"/>
      <c r="D757" s="47"/>
    </row>
    <row r="758">
      <c r="A758" s="44"/>
      <c r="B758" s="45"/>
      <c r="C758" s="46"/>
      <c r="D758" s="47"/>
    </row>
    <row r="759">
      <c r="A759" s="44"/>
      <c r="B759" s="45"/>
      <c r="C759" s="46"/>
      <c r="D759" s="47"/>
    </row>
    <row r="760">
      <c r="A760" s="44"/>
      <c r="B760" s="45"/>
      <c r="C760" s="46"/>
      <c r="D760" s="47"/>
    </row>
    <row r="761">
      <c r="A761" s="44"/>
      <c r="B761" s="45"/>
      <c r="C761" s="46"/>
      <c r="D761" s="47"/>
    </row>
    <row r="762">
      <c r="A762" s="44"/>
      <c r="B762" s="45"/>
      <c r="C762" s="46"/>
      <c r="D762" s="47"/>
    </row>
    <row r="763">
      <c r="A763" s="44"/>
      <c r="B763" s="45"/>
      <c r="C763" s="46"/>
      <c r="D763" s="47"/>
    </row>
    <row r="764">
      <c r="A764" s="44"/>
      <c r="B764" s="45"/>
      <c r="C764" s="46"/>
      <c r="D764" s="47"/>
    </row>
    <row r="765">
      <c r="A765" s="44"/>
      <c r="B765" s="45"/>
      <c r="C765" s="46"/>
      <c r="D765" s="47"/>
    </row>
    <row r="766">
      <c r="A766" s="44"/>
      <c r="B766" s="45"/>
      <c r="C766" s="46"/>
      <c r="D766" s="47"/>
    </row>
    <row r="767">
      <c r="A767" s="44"/>
      <c r="B767" s="45"/>
      <c r="C767" s="46"/>
      <c r="D767" s="47"/>
    </row>
    <row r="768">
      <c r="A768" s="44"/>
      <c r="B768" s="45"/>
      <c r="C768" s="46"/>
      <c r="D768" s="47"/>
    </row>
    <row r="769">
      <c r="A769" s="44"/>
      <c r="B769" s="45"/>
      <c r="C769" s="46"/>
      <c r="D769" s="47"/>
    </row>
    <row r="770">
      <c r="A770" s="44"/>
      <c r="B770" s="45"/>
      <c r="C770" s="46"/>
      <c r="D770" s="47"/>
    </row>
    <row r="771">
      <c r="A771" s="44"/>
      <c r="B771" s="45"/>
      <c r="C771" s="46"/>
      <c r="D771" s="47"/>
    </row>
    <row r="772">
      <c r="A772" s="44"/>
      <c r="B772" s="45"/>
      <c r="C772" s="46"/>
      <c r="D772" s="47"/>
    </row>
    <row r="773">
      <c r="A773" s="44"/>
      <c r="B773" s="45"/>
      <c r="C773" s="46"/>
      <c r="D773" s="47"/>
    </row>
    <row r="774">
      <c r="A774" s="44"/>
      <c r="B774" s="45"/>
      <c r="C774" s="46"/>
      <c r="D774" s="47"/>
    </row>
    <row r="775">
      <c r="A775" s="44"/>
      <c r="B775" s="45"/>
      <c r="C775" s="46"/>
      <c r="D775" s="47"/>
    </row>
    <row r="776">
      <c r="A776" s="44"/>
      <c r="B776" s="45"/>
      <c r="C776" s="46"/>
      <c r="D776" s="47"/>
    </row>
    <row r="777">
      <c r="A777" s="44"/>
      <c r="B777" s="45"/>
      <c r="C777" s="46"/>
      <c r="D777" s="47"/>
    </row>
    <row r="778">
      <c r="A778" s="44"/>
      <c r="B778" s="45"/>
      <c r="C778" s="46"/>
      <c r="D778" s="47"/>
    </row>
    <row r="779">
      <c r="A779" s="44"/>
      <c r="B779" s="45"/>
      <c r="C779" s="46"/>
      <c r="D779" s="47"/>
    </row>
    <row r="780">
      <c r="A780" s="44"/>
      <c r="B780" s="45"/>
      <c r="C780" s="46"/>
      <c r="D780" s="47"/>
    </row>
    <row r="781">
      <c r="A781" s="44"/>
      <c r="B781" s="45"/>
      <c r="C781" s="46"/>
      <c r="D781" s="47"/>
    </row>
    <row r="782">
      <c r="A782" s="44"/>
      <c r="B782" s="45"/>
      <c r="C782" s="46"/>
      <c r="D782" s="47"/>
    </row>
    <row r="783">
      <c r="A783" s="44"/>
      <c r="B783" s="45"/>
      <c r="C783" s="46"/>
      <c r="D783" s="47"/>
    </row>
    <row r="784">
      <c r="A784" s="44"/>
      <c r="B784" s="45"/>
      <c r="C784" s="46"/>
      <c r="D784" s="47"/>
    </row>
    <row r="785">
      <c r="A785" s="44"/>
      <c r="B785" s="45"/>
      <c r="C785" s="46"/>
      <c r="D785" s="47"/>
    </row>
    <row r="786">
      <c r="A786" s="44"/>
      <c r="B786" s="45"/>
      <c r="C786" s="46"/>
      <c r="D786" s="47"/>
    </row>
    <row r="787">
      <c r="A787" s="44"/>
      <c r="B787" s="45"/>
      <c r="C787" s="46"/>
      <c r="D787" s="47"/>
    </row>
    <row r="788">
      <c r="A788" s="44"/>
      <c r="B788" s="45"/>
      <c r="C788" s="46"/>
      <c r="D788" s="47"/>
    </row>
    <row r="789">
      <c r="A789" s="44"/>
      <c r="B789" s="45"/>
      <c r="C789" s="46"/>
      <c r="D789" s="47"/>
    </row>
    <row r="790">
      <c r="A790" s="44"/>
      <c r="B790" s="45"/>
      <c r="C790" s="46"/>
      <c r="D790" s="47"/>
    </row>
    <row r="791">
      <c r="A791" s="44"/>
      <c r="B791" s="45"/>
      <c r="C791" s="46"/>
      <c r="D791" s="47"/>
    </row>
    <row r="792">
      <c r="A792" s="44"/>
      <c r="B792" s="45"/>
      <c r="C792" s="46"/>
      <c r="D792" s="47"/>
    </row>
    <row r="793">
      <c r="A793" s="44"/>
      <c r="B793" s="45"/>
      <c r="C793" s="46"/>
      <c r="D793" s="47"/>
    </row>
    <row r="794">
      <c r="A794" s="44"/>
      <c r="B794" s="45"/>
      <c r="C794" s="46"/>
      <c r="D794" s="47"/>
    </row>
    <row r="795">
      <c r="A795" s="44"/>
      <c r="B795" s="45"/>
      <c r="C795" s="46"/>
      <c r="D795" s="47"/>
    </row>
    <row r="796">
      <c r="A796" s="44"/>
      <c r="B796" s="45"/>
      <c r="C796" s="46"/>
      <c r="D796" s="47"/>
    </row>
    <row r="797">
      <c r="A797" s="44"/>
      <c r="B797" s="45"/>
      <c r="C797" s="46"/>
      <c r="D797" s="47"/>
    </row>
    <row r="798">
      <c r="A798" s="44"/>
      <c r="B798" s="45"/>
      <c r="C798" s="46"/>
      <c r="D798" s="47"/>
    </row>
    <row r="799">
      <c r="A799" s="44"/>
      <c r="B799" s="45"/>
      <c r="C799" s="46"/>
      <c r="D799" s="47"/>
    </row>
    <row r="800">
      <c r="A800" s="44"/>
      <c r="B800" s="45"/>
      <c r="C800" s="46"/>
      <c r="D800" s="47"/>
    </row>
    <row r="801">
      <c r="A801" s="44"/>
      <c r="B801" s="45"/>
      <c r="C801" s="46"/>
      <c r="D801" s="47"/>
    </row>
    <row r="802">
      <c r="A802" s="44"/>
      <c r="B802" s="45"/>
      <c r="C802" s="46"/>
      <c r="D802" s="47"/>
    </row>
    <row r="803">
      <c r="A803" s="44"/>
      <c r="B803" s="45"/>
      <c r="C803" s="46"/>
      <c r="D803" s="47"/>
    </row>
    <row r="804">
      <c r="A804" s="44"/>
      <c r="B804" s="45"/>
      <c r="C804" s="46"/>
      <c r="D804" s="47"/>
    </row>
    <row r="805">
      <c r="A805" s="44"/>
      <c r="B805" s="45"/>
      <c r="C805" s="46"/>
      <c r="D805" s="47"/>
    </row>
    <row r="806">
      <c r="A806" s="44"/>
      <c r="B806" s="45"/>
      <c r="C806" s="46"/>
      <c r="D806" s="47"/>
    </row>
    <row r="807">
      <c r="A807" s="44"/>
      <c r="B807" s="45"/>
      <c r="C807" s="46"/>
      <c r="D807" s="47"/>
    </row>
    <row r="808">
      <c r="A808" s="44"/>
      <c r="B808" s="45"/>
      <c r="C808" s="46"/>
      <c r="D808" s="47"/>
    </row>
    <row r="809">
      <c r="A809" s="44"/>
      <c r="B809" s="45"/>
      <c r="C809" s="46"/>
      <c r="D809" s="47"/>
    </row>
    <row r="810">
      <c r="A810" s="44"/>
      <c r="B810" s="45"/>
      <c r="C810" s="46"/>
      <c r="D810" s="47"/>
    </row>
    <row r="811">
      <c r="A811" s="44"/>
      <c r="B811" s="45"/>
      <c r="C811" s="46"/>
      <c r="D811" s="47"/>
    </row>
    <row r="812">
      <c r="A812" s="44"/>
      <c r="B812" s="45"/>
      <c r="C812" s="46"/>
      <c r="D812" s="47"/>
    </row>
    <row r="813">
      <c r="A813" s="44"/>
      <c r="B813" s="45"/>
      <c r="C813" s="46"/>
      <c r="D813" s="47"/>
    </row>
    <row r="814">
      <c r="A814" s="44"/>
      <c r="B814" s="45"/>
      <c r="C814" s="46"/>
      <c r="D814" s="47"/>
    </row>
    <row r="815">
      <c r="A815" s="44"/>
      <c r="B815" s="45"/>
      <c r="C815" s="46"/>
      <c r="D815" s="47"/>
    </row>
    <row r="816">
      <c r="A816" s="44"/>
      <c r="B816" s="45"/>
      <c r="C816" s="46"/>
      <c r="D816" s="47"/>
    </row>
    <row r="817">
      <c r="A817" s="44"/>
      <c r="B817" s="45"/>
      <c r="C817" s="46"/>
      <c r="D817" s="47"/>
    </row>
    <row r="818">
      <c r="A818" s="44"/>
      <c r="B818" s="45"/>
      <c r="C818" s="46"/>
      <c r="D818" s="47"/>
    </row>
    <row r="819">
      <c r="A819" s="44"/>
      <c r="B819" s="45"/>
      <c r="C819" s="46"/>
      <c r="D819" s="47"/>
    </row>
    <row r="820">
      <c r="A820" s="44"/>
      <c r="B820" s="45"/>
      <c r="C820" s="46"/>
      <c r="D820" s="47"/>
    </row>
    <row r="821">
      <c r="A821" s="44"/>
      <c r="B821" s="45"/>
      <c r="C821" s="46"/>
      <c r="D821" s="47"/>
    </row>
    <row r="822">
      <c r="A822" s="44"/>
      <c r="B822" s="45"/>
      <c r="C822" s="46"/>
      <c r="D822" s="47"/>
    </row>
    <row r="823">
      <c r="A823" s="44"/>
      <c r="B823" s="45"/>
      <c r="C823" s="46"/>
      <c r="D823" s="47"/>
    </row>
    <row r="824">
      <c r="A824" s="44"/>
      <c r="B824" s="45"/>
      <c r="C824" s="46"/>
      <c r="D824" s="47"/>
    </row>
    <row r="825">
      <c r="A825" s="44"/>
      <c r="B825" s="45"/>
      <c r="C825" s="46"/>
      <c r="D825" s="47"/>
    </row>
    <row r="826">
      <c r="A826" s="44"/>
      <c r="B826" s="45"/>
      <c r="C826" s="46"/>
      <c r="D826" s="47"/>
    </row>
    <row r="827">
      <c r="A827" s="44"/>
      <c r="B827" s="45"/>
      <c r="C827" s="46"/>
      <c r="D827" s="47"/>
    </row>
    <row r="828">
      <c r="A828" s="44"/>
      <c r="B828" s="45"/>
      <c r="C828" s="46"/>
      <c r="D828" s="47"/>
    </row>
    <row r="829">
      <c r="A829" s="44"/>
      <c r="B829" s="45"/>
      <c r="C829" s="46"/>
      <c r="D829" s="47"/>
    </row>
    <row r="830">
      <c r="A830" s="44"/>
      <c r="B830" s="45"/>
      <c r="C830" s="46"/>
      <c r="D830" s="47"/>
    </row>
    <row r="831">
      <c r="A831" s="44"/>
      <c r="B831" s="45"/>
      <c r="C831" s="46"/>
      <c r="D831" s="47"/>
    </row>
    <row r="832">
      <c r="A832" s="44"/>
      <c r="B832" s="45"/>
      <c r="C832" s="46"/>
      <c r="D832" s="47"/>
    </row>
    <row r="833">
      <c r="A833" s="44"/>
      <c r="B833" s="45"/>
      <c r="C833" s="46"/>
      <c r="D833" s="47"/>
    </row>
    <row r="834">
      <c r="A834" s="44"/>
      <c r="B834" s="45"/>
      <c r="C834" s="46"/>
      <c r="D834" s="47"/>
    </row>
    <row r="835">
      <c r="A835" s="44"/>
      <c r="B835" s="45"/>
      <c r="C835" s="46"/>
      <c r="D835" s="47"/>
    </row>
    <row r="836">
      <c r="A836" s="44"/>
      <c r="B836" s="45"/>
      <c r="C836" s="46"/>
      <c r="D836" s="47"/>
    </row>
    <row r="837">
      <c r="A837" s="44"/>
      <c r="B837" s="45"/>
      <c r="C837" s="46"/>
      <c r="D837" s="47"/>
    </row>
    <row r="838">
      <c r="A838" s="44"/>
      <c r="B838" s="45"/>
      <c r="C838" s="46"/>
      <c r="D838" s="47"/>
    </row>
    <row r="839">
      <c r="A839" s="44"/>
      <c r="B839" s="45"/>
      <c r="C839" s="46"/>
      <c r="D839" s="47"/>
    </row>
    <row r="840">
      <c r="A840" s="44"/>
      <c r="B840" s="45"/>
      <c r="C840" s="46"/>
      <c r="D840" s="47"/>
    </row>
    <row r="841">
      <c r="A841" s="44"/>
      <c r="B841" s="45"/>
      <c r="C841" s="46"/>
      <c r="D841" s="47"/>
    </row>
    <row r="842">
      <c r="A842" s="44"/>
      <c r="B842" s="45"/>
      <c r="C842" s="46"/>
      <c r="D842" s="47"/>
    </row>
    <row r="843">
      <c r="A843" s="44"/>
      <c r="B843" s="45"/>
      <c r="C843" s="46"/>
      <c r="D843" s="47"/>
    </row>
    <row r="844">
      <c r="A844" s="44"/>
      <c r="B844" s="45"/>
      <c r="C844" s="46"/>
      <c r="D844" s="47"/>
    </row>
    <row r="845">
      <c r="A845" s="44"/>
      <c r="B845" s="45"/>
      <c r="C845" s="46"/>
      <c r="D845" s="47"/>
    </row>
    <row r="846">
      <c r="A846" s="44"/>
      <c r="B846" s="45"/>
      <c r="C846" s="46"/>
      <c r="D846" s="47"/>
    </row>
    <row r="847">
      <c r="A847" s="44"/>
      <c r="B847" s="45"/>
      <c r="C847" s="46"/>
      <c r="D847" s="47"/>
    </row>
    <row r="848">
      <c r="A848" s="44"/>
      <c r="B848" s="45"/>
      <c r="C848" s="46"/>
      <c r="D848" s="47"/>
    </row>
    <row r="849">
      <c r="A849" s="44"/>
      <c r="B849" s="45"/>
      <c r="C849" s="46"/>
      <c r="D849" s="47"/>
    </row>
    <row r="850">
      <c r="A850" s="44"/>
      <c r="B850" s="45"/>
      <c r="C850" s="46"/>
      <c r="D850" s="47"/>
    </row>
    <row r="851">
      <c r="A851" s="44"/>
      <c r="B851" s="45"/>
      <c r="C851" s="46"/>
      <c r="D851" s="47"/>
    </row>
    <row r="852">
      <c r="A852" s="44"/>
      <c r="B852" s="45"/>
      <c r="C852" s="46"/>
      <c r="D852" s="47"/>
    </row>
    <row r="853">
      <c r="A853" s="44"/>
      <c r="B853" s="45"/>
      <c r="C853" s="46"/>
      <c r="D853" s="47"/>
    </row>
    <row r="854">
      <c r="A854" s="44"/>
      <c r="B854" s="45"/>
      <c r="C854" s="46"/>
      <c r="D854" s="47"/>
    </row>
    <row r="855">
      <c r="A855" s="44"/>
      <c r="B855" s="45"/>
      <c r="C855" s="46"/>
      <c r="D855" s="47"/>
    </row>
    <row r="856">
      <c r="A856" s="44"/>
      <c r="B856" s="45"/>
      <c r="C856" s="46"/>
      <c r="D856" s="47"/>
    </row>
    <row r="857">
      <c r="A857" s="44"/>
      <c r="B857" s="45"/>
      <c r="C857" s="46"/>
      <c r="D857" s="47"/>
    </row>
    <row r="858">
      <c r="A858" s="44"/>
      <c r="B858" s="45"/>
      <c r="C858" s="46"/>
      <c r="D858" s="47"/>
    </row>
    <row r="859">
      <c r="A859" s="44"/>
      <c r="B859" s="45"/>
      <c r="C859" s="46"/>
      <c r="D859" s="47"/>
    </row>
    <row r="860">
      <c r="A860" s="44"/>
      <c r="B860" s="45"/>
      <c r="C860" s="46"/>
      <c r="D860" s="47"/>
    </row>
    <row r="861">
      <c r="A861" s="44"/>
      <c r="B861" s="45"/>
      <c r="C861" s="46"/>
      <c r="D861" s="47"/>
    </row>
    <row r="862">
      <c r="A862" s="44"/>
      <c r="B862" s="45"/>
      <c r="C862" s="46"/>
      <c r="D862" s="47"/>
    </row>
    <row r="863">
      <c r="A863" s="44"/>
      <c r="B863" s="45"/>
      <c r="C863" s="46"/>
      <c r="D863" s="47"/>
    </row>
    <row r="864">
      <c r="A864" s="44"/>
      <c r="B864" s="45"/>
      <c r="C864" s="46"/>
      <c r="D864" s="47"/>
    </row>
    <row r="865">
      <c r="A865" s="44"/>
      <c r="B865" s="45"/>
      <c r="C865" s="46"/>
      <c r="D865" s="47"/>
    </row>
    <row r="866">
      <c r="A866" s="44"/>
      <c r="B866" s="45"/>
      <c r="C866" s="46"/>
      <c r="D866" s="47"/>
    </row>
    <row r="867">
      <c r="A867" s="44"/>
      <c r="B867" s="45"/>
      <c r="C867" s="46"/>
      <c r="D867" s="47"/>
    </row>
    <row r="868">
      <c r="A868" s="44"/>
      <c r="B868" s="45"/>
      <c r="C868" s="46"/>
      <c r="D868" s="47"/>
    </row>
    <row r="869">
      <c r="A869" s="44"/>
      <c r="B869" s="45"/>
      <c r="C869" s="46"/>
      <c r="D869" s="47"/>
    </row>
    <row r="870">
      <c r="A870" s="44"/>
      <c r="B870" s="45"/>
      <c r="C870" s="46"/>
      <c r="D870" s="47"/>
    </row>
    <row r="871">
      <c r="A871" s="44"/>
      <c r="B871" s="45"/>
      <c r="C871" s="46"/>
      <c r="D871" s="47"/>
    </row>
    <row r="872">
      <c r="A872" s="44"/>
      <c r="B872" s="45"/>
      <c r="C872" s="46"/>
      <c r="D872" s="47"/>
    </row>
    <row r="873">
      <c r="A873" s="44"/>
      <c r="B873" s="45"/>
      <c r="C873" s="46"/>
      <c r="D873" s="47"/>
    </row>
    <row r="874">
      <c r="A874" s="44"/>
      <c r="B874" s="45"/>
      <c r="C874" s="46"/>
      <c r="D874" s="47"/>
    </row>
    <row r="875">
      <c r="A875" s="44"/>
      <c r="B875" s="45"/>
      <c r="C875" s="46"/>
      <c r="D875" s="47"/>
    </row>
    <row r="876">
      <c r="A876" s="44"/>
      <c r="B876" s="45"/>
      <c r="C876" s="46"/>
      <c r="D876" s="47"/>
    </row>
    <row r="877">
      <c r="A877" s="44"/>
      <c r="B877" s="45"/>
      <c r="C877" s="46"/>
      <c r="D877" s="47"/>
    </row>
    <row r="878">
      <c r="A878" s="44"/>
      <c r="B878" s="45"/>
      <c r="C878" s="46"/>
      <c r="D878" s="47"/>
    </row>
    <row r="879">
      <c r="A879" s="44"/>
      <c r="B879" s="45"/>
      <c r="C879" s="46"/>
      <c r="D879" s="47"/>
    </row>
    <row r="880">
      <c r="A880" s="44"/>
      <c r="B880" s="45"/>
      <c r="C880" s="46"/>
      <c r="D880" s="47"/>
    </row>
    <row r="881">
      <c r="A881" s="44"/>
      <c r="B881" s="45"/>
      <c r="C881" s="46"/>
      <c r="D881" s="47"/>
    </row>
    <row r="882">
      <c r="A882" s="44"/>
      <c r="B882" s="45"/>
      <c r="C882" s="46"/>
      <c r="D882" s="47"/>
    </row>
    <row r="883">
      <c r="A883" s="44"/>
      <c r="B883" s="45"/>
      <c r="C883" s="46"/>
      <c r="D883" s="47"/>
    </row>
    <row r="884">
      <c r="A884" s="44"/>
      <c r="B884" s="45"/>
      <c r="C884" s="46"/>
      <c r="D884" s="47"/>
    </row>
    <row r="885">
      <c r="A885" s="44"/>
      <c r="B885" s="45"/>
      <c r="C885" s="46"/>
      <c r="D885" s="47"/>
    </row>
    <row r="886">
      <c r="A886" s="44"/>
      <c r="B886" s="45"/>
      <c r="C886" s="46"/>
      <c r="D886" s="47"/>
    </row>
    <row r="887">
      <c r="A887" s="44"/>
      <c r="B887" s="45"/>
      <c r="C887" s="46"/>
      <c r="D887" s="47"/>
    </row>
    <row r="888">
      <c r="A888" s="44"/>
      <c r="B888" s="45"/>
      <c r="C888" s="46"/>
      <c r="D888" s="47"/>
    </row>
    <row r="889">
      <c r="A889" s="44"/>
      <c r="B889" s="45"/>
      <c r="C889" s="46"/>
      <c r="D889" s="47"/>
    </row>
    <row r="890">
      <c r="A890" s="44"/>
      <c r="B890" s="45"/>
      <c r="C890" s="46"/>
      <c r="D890" s="47"/>
    </row>
    <row r="891">
      <c r="A891" s="44"/>
      <c r="B891" s="45"/>
      <c r="C891" s="46"/>
      <c r="D891" s="47"/>
    </row>
    <row r="892">
      <c r="A892" s="44"/>
      <c r="B892" s="45"/>
      <c r="C892" s="46"/>
      <c r="D892" s="47"/>
    </row>
    <row r="893">
      <c r="A893" s="44"/>
      <c r="B893" s="45"/>
      <c r="C893" s="46"/>
      <c r="D893" s="47"/>
    </row>
    <row r="894">
      <c r="A894" s="44"/>
      <c r="B894" s="45"/>
      <c r="C894" s="46"/>
      <c r="D894" s="47"/>
    </row>
    <row r="895">
      <c r="A895" s="44"/>
      <c r="B895" s="45"/>
      <c r="C895" s="46"/>
      <c r="D895" s="47"/>
    </row>
    <row r="896">
      <c r="A896" s="44"/>
      <c r="B896" s="45"/>
      <c r="C896" s="46"/>
      <c r="D896" s="47"/>
    </row>
    <row r="897">
      <c r="A897" s="44"/>
      <c r="B897" s="45"/>
      <c r="C897" s="46"/>
      <c r="D897" s="47"/>
    </row>
    <row r="898">
      <c r="A898" s="44"/>
      <c r="B898" s="45"/>
      <c r="C898" s="46"/>
      <c r="D898" s="47"/>
    </row>
    <row r="899">
      <c r="A899" s="44"/>
      <c r="B899" s="45"/>
      <c r="C899" s="46"/>
      <c r="D899" s="47"/>
    </row>
    <row r="900">
      <c r="A900" s="44"/>
      <c r="B900" s="45"/>
      <c r="C900" s="46"/>
      <c r="D900" s="47"/>
    </row>
    <row r="901">
      <c r="A901" s="44"/>
      <c r="B901" s="45"/>
      <c r="C901" s="46"/>
      <c r="D901" s="47"/>
    </row>
    <row r="902">
      <c r="A902" s="44"/>
      <c r="B902" s="45"/>
      <c r="C902" s="46"/>
      <c r="D902" s="47"/>
    </row>
    <row r="903">
      <c r="A903" s="44"/>
      <c r="B903" s="45"/>
      <c r="C903" s="46"/>
      <c r="D903" s="47"/>
    </row>
    <row r="904">
      <c r="A904" s="44"/>
      <c r="B904" s="45"/>
      <c r="C904" s="46"/>
      <c r="D904" s="47"/>
    </row>
    <row r="905">
      <c r="A905" s="44"/>
      <c r="B905" s="45"/>
      <c r="C905" s="46"/>
      <c r="D905" s="47"/>
    </row>
    <row r="906">
      <c r="A906" s="44"/>
      <c r="B906" s="45"/>
      <c r="C906" s="46"/>
      <c r="D906" s="47"/>
    </row>
    <row r="907">
      <c r="A907" s="44"/>
      <c r="B907" s="45"/>
      <c r="C907" s="46"/>
      <c r="D907" s="47"/>
    </row>
    <row r="908">
      <c r="A908" s="44"/>
      <c r="B908" s="45"/>
      <c r="C908" s="46"/>
      <c r="D908" s="47"/>
    </row>
    <row r="909">
      <c r="A909" s="44"/>
      <c r="B909" s="45"/>
      <c r="C909" s="46"/>
      <c r="D909" s="47"/>
    </row>
    <row r="910">
      <c r="A910" s="44"/>
      <c r="B910" s="45"/>
      <c r="C910" s="46"/>
      <c r="D910" s="47"/>
    </row>
    <row r="911">
      <c r="A911" s="44"/>
      <c r="B911" s="45"/>
      <c r="C911" s="46"/>
      <c r="D911" s="47"/>
    </row>
    <row r="912">
      <c r="A912" s="44"/>
      <c r="B912" s="45"/>
      <c r="C912" s="46"/>
      <c r="D912" s="47"/>
    </row>
    <row r="913">
      <c r="A913" s="44"/>
      <c r="B913" s="45"/>
      <c r="C913" s="46"/>
      <c r="D913" s="47"/>
    </row>
    <row r="914">
      <c r="A914" s="44"/>
      <c r="B914" s="45"/>
      <c r="C914" s="46"/>
      <c r="D914" s="47"/>
    </row>
    <row r="915">
      <c r="A915" s="44"/>
      <c r="B915" s="45"/>
      <c r="C915" s="46"/>
      <c r="D915" s="47"/>
    </row>
    <row r="916">
      <c r="A916" s="44"/>
      <c r="B916" s="45"/>
      <c r="C916" s="46"/>
      <c r="D916" s="47"/>
    </row>
    <row r="917">
      <c r="A917" s="44"/>
      <c r="B917" s="45"/>
      <c r="C917" s="46"/>
      <c r="D917" s="47"/>
    </row>
    <row r="918">
      <c r="A918" s="44"/>
      <c r="B918" s="45"/>
      <c r="C918" s="46"/>
      <c r="D918" s="47"/>
    </row>
    <row r="919">
      <c r="A919" s="44"/>
      <c r="B919" s="45"/>
      <c r="C919" s="46"/>
      <c r="D919" s="47"/>
    </row>
    <row r="920">
      <c r="A920" s="44"/>
      <c r="B920" s="45"/>
      <c r="C920" s="46"/>
      <c r="D920" s="47"/>
    </row>
    <row r="921">
      <c r="A921" s="44"/>
      <c r="B921" s="45"/>
      <c r="C921" s="46"/>
      <c r="D921" s="47"/>
    </row>
    <row r="922">
      <c r="A922" s="44"/>
      <c r="B922" s="45"/>
      <c r="C922" s="46"/>
      <c r="D922" s="47"/>
    </row>
    <row r="923">
      <c r="A923" s="44"/>
      <c r="B923" s="45"/>
      <c r="C923" s="46"/>
      <c r="D923" s="47"/>
    </row>
    <row r="924">
      <c r="A924" s="44"/>
      <c r="B924" s="45"/>
      <c r="C924" s="46"/>
      <c r="D924" s="47"/>
    </row>
    <row r="925">
      <c r="A925" s="44"/>
      <c r="B925" s="45"/>
      <c r="C925" s="46"/>
      <c r="D925" s="47"/>
    </row>
    <row r="926">
      <c r="A926" s="44"/>
      <c r="B926" s="45"/>
      <c r="C926" s="46"/>
      <c r="D926" s="47"/>
    </row>
    <row r="927">
      <c r="A927" s="44"/>
      <c r="B927" s="45"/>
      <c r="C927" s="46"/>
      <c r="D927" s="47"/>
    </row>
    <row r="928">
      <c r="A928" s="44"/>
      <c r="B928" s="45"/>
      <c r="C928" s="46"/>
      <c r="D928" s="47"/>
    </row>
    <row r="929">
      <c r="A929" s="44"/>
      <c r="B929" s="45"/>
      <c r="C929" s="46"/>
      <c r="D929" s="47"/>
    </row>
    <row r="930">
      <c r="A930" s="44"/>
      <c r="B930" s="45"/>
      <c r="C930" s="46"/>
      <c r="D930" s="47"/>
    </row>
    <row r="931">
      <c r="A931" s="44"/>
      <c r="B931" s="45"/>
      <c r="C931" s="46"/>
      <c r="D931" s="47"/>
    </row>
    <row r="932">
      <c r="A932" s="44"/>
      <c r="B932" s="45"/>
      <c r="C932" s="46"/>
      <c r="D932" s="47"/>
    </row>
    <row r="933">
      <c r="A933" s="44"/>
      <c r="B933" s="45"/>
      <c r="C933" s="46"/>
      <c r="D933" s="47"/>
    </row>
    <row r="934">
      <c r="A934" s="44"/>
      <c r="B934" s="45"/>
      <c r="C934" s="46"/>
      <c r="D934" s="47"/>
    </row>
    <row r="935">
      <c r="A935" s="44"/>
      <c r="B935" s="45"/>
      <c r="C935" s="46"/>
      <c r="D935" s="47"/>
    </row>
    <row r="936">
      <c r="A936" s="44"/>
      <c r="B936" s="45"/>
      <c r="C936" s="46"/>
      <c r="D936" s="47"/>
    </row>
    <row r="937">
      <c r="A937" s="44"/>
      <c r="B937" s="45"/>
      <c r="C937" s="46"/>
      <c r="D937" s="47"/>
    </row>
    <row r="938">
      <c r="A938" s="44"/>
      <c r="B938" s="45"/>
      <c r="C938" s="46"/>
      <c r="D938" s="47"/>
    </row>
    <row r="939">
      <c r="A939" s="44"/>
      <c r="B939" s="45"/>
      <c r="C939" s="46"/>
      <c r="D939" s="47"/>
    </row>
    <row r="940">
      <c r="A940" s="44"/>
      <c r="B940" s="45"/>
      <c r="C940" s="46"/>
      <c r="D940" s="47"/>
    </row>
    <row r="941">
      <c r="A941" s="44"/>
      <c r="B941" s="45"/>
      <c r="C941" s="46"/>
      <c r="D941" s="47"/>
    </row>
    <row r="942">
      <c r="A942" s="44"/>
      <c r="B942" s="45"/>
      <c r="C942" s="46"/>
      <c r="D942" s="47"/>
    </row>
    <row r="943">
      <c r="A943" s="44"/>
      <c r="B943" s="45"/>
      <c r="C943" s="46"/>
      <c r="D943" s="47"/>
    </row>
    <row r="944">
      <c r="A944" s="44"/>
      <c r="B944" s="45"/>
      <c r="C944" s="46"/>
      <c r="D944" s="47"/>
    </row>
    <row r="945">
      <c r="A945" s="44"/>
      <c r="B945" s="45"/>
      <c r="C945" s="46"/>
      <c r="D945" s="47"/>
    </row>
    <row r="946">
      <c r="A946" s="44"/>
      <c r="B946" s="45"/>
      <c r="C946" s="46"/>
      <c r="D946" s="47"/>
    </row>
    <row r="947">
      <c r="A947" s="44"/>
      <c r="B947" s="45"/>
      <c r="C947" s="46"/>
      <c r="D947" s="47"/>
    </row>
    <row r="948">
      <c r="A948" s="44"/>
      <c r="B948" s="45"/>
      <c r="C948" s="46"/>
      <c r="D948" s="47"/>
    </row>
    <row r="949">
      <c r="A949" s="44"/>
      <c r="B949" s="45"/>
      <c r="C949" s="46"/>
      <c r="D949" s="47"/>
    </row>
    <row r="950">
      <c r="A950" s="44"/>
      <c r="B950" s="45"/>
      <c r="C950" s="46"/>
      <c r="D950" s="47"/>
    </row>
    <row r="951">
      <c r="A951" s="44"/>
      <c r="B951" s="45"/>
      <c r="C951" s="46"/>
      <c r="D951" s="47"/>
    </row>
    <row r="952">
      <c r="A952" s="44"/>
      <c r="B952" s="45"/>
      <c r="C952" s="46"/>
      <c r="D952" s="47"/>
    </row>
    <row r="953">
      <c r="A953" s="44"/>
      <c r="B953" s="45"/>
      <c r="C953" s="46"/>
      <c r="D953" s="47"/>
    </row>
    <row r="954">
      <c r="A954" s="44"/>
      <c r="B954" s="45"/>
      <c r="C954" s="46"/>
      <c r="D954" s="47"/>
    </row>
    <row r="955">
      <c r="A955" s="44"/>
      <c r="B955" s="45"/>
      <c r="C955" s="46"/>
      <c r="D955" s="47"/>
    </row>
    <row r="956">
      <c r="A956" s="44"/>
      <c r="B956" s="45"/>
      <c r="C956" s="46"/>
      <c r="D956" s="47"/>
    </row>
    <row r="957">
      <c r="A957" s="44"/>
      <c r="B957" s="45"/>
      <c r="C957" s="46"/>
      <c r="D957" s="47"/>
    </row>
    <row r="958">
      <c r="A958" s="44"/>
      <c r="B958" s="45"/>
      <c r="C958" s="46"/>
      <c r="D958" s="47"/>
    </row>
    <row r="959">
      <c r="A959" s="44"/>
      <c r="B959" s="45"/>
      <c r="C959" s="46"/>
      <c r="D959" s="47"/>
    </row>
    <row r="960">
      <c r="A960" s="44"/>
      <c r="B960" s="45"/>
      <c r="C960" s="46"/>
      <c r="D960" s="47"/>
    </row>
    <row r="961">
      <c r="A961" s="44"/>
      <c r="B961" s="45"/>
      <c r="C961" s="46"/>
      <c r="D961" s="47"/>
    </row>
    <row r="962">
      <c r="A962" s="44"/>
      <c r="B962" s="45"/>
      <c r="C962" s="46"/>
      <c r="D962" s="47"/>
    </row>
    <row r="963">
      <c r="A963" s="44"/>
      <c r="B963" s="45"/>
      <c r="C963" s="46"/>
      <c r="D963" s="47"/>
    </row>
    <row r="964">
      <c r="A964" s="44"/>
      <c r="B964" s="45"/>
      <c r="C964" s="46"/>
      <c r="D964" s="47"/>
    </row>
    <row r="965">
      <c r="A965" s="44"/>
      <c r="B965" s="45"/>
      <c r="C965" s="46"/>
      <c r="D965" s="47"/>
    </row>
    <row r="966">
      <c r="A966" s="44"/>
      <c r="B966" s="45"/>
      <c r="C966" s="46"/>
      <c r="D966" s="47"/>
    </row>
    <row r="967">
      <c r="A967" s="44"/>
      <c r="B967" s="45"/>
      <c r="C967" s="46"/>
      <c r="D967" s="47"/>
    </row>
    <row r="968">
      <c r="A968" s="44"/>
      <c r="B968" s="45"/>
      <c r="C968" s="46"/>
      <c r="D968" s="47"/>
    </row>
    <row r="969">
      <c r="A969" s="44"/>
      <c r="B969" s="45"/>
      <c r="C969" s="46"/>
      <c r="D969" s="47"/>
    </row>
    <row r="970">
      <c r="A970" s="44"/>
      <c r="B970" s="45"/>
      <c r="C970" s="46"/>
      <c r="D970" s="47"/>
    </row>
    <row r="971">
      <c r="A971" s="44"/>
      <c r="B971" s="45"/>
      <c r="C971" s="46"/>
      <c r="D971" s="47"/>
    </row>
    <row r="972">
      <c r="A972" s="44"/>
      <c r="B972" s="45"/>
      <c r="C972" s="46"/>
      <c r="D972" s="47"/>
    </row>
    <row r="973">
      <c r="A973" s="44"/>
      <c r="B973" s="45"/>
      <c r="C973" s="46"/>
      <c r="D973" s="47"/>
    </row>
    <row r="974">
      <c r="A974" s="44"/>
      <c r="B974" s="45"/>
      <c r="C974" s="46"/>
      <c r="D974" s="47"/>
    </row>
    <row r="975">
      <c r="A975" s="44"/>
      <c r="B975" s="45"/>
      <c r="C975" s="46"/>
      <c r="D975" s="47"/>
    </row>
    <row r="976">
      <c r="A976" s="44"/>
      <c r="B976" s="45"/>
      <c r="C976" s="46"/>
      <c r="D976" s="47"/>
    </row>
    <row r="977">
      <c r="A977" s="44"/>
      <c r="B977" s="45"/>
      <c r="C977" s="46"/>
      <c r="D977" s="47"/>
    </row>
    <row r="978">
      <c r="A978" s="44"/>
      <c r="B978" s="45"/>
      <c r="C978" s="46"/>
      <c r="D978" s="47"/>
    </row>
    <row r="979">
      <c r="A979" s="44"/>
      <c r="B979" s="45"/>
      <c r="C979" s="46"/>
      <c r="D979" s="47"/>
    </row>
    <row r="980">
      <c r="A980" s="44"/>
      <c r="B980" s="45"/>
      <c r="C980" s="46"/>
      <c r="D980" s="47"/>
    </row>
    <row r="981">
      <c r="A981" s="44"/>
      <c r="B981" s="45"/>
      <c r="C981" s="46"/>
      <c r="D981" s="47"/>
    </row>
    <row r="982">
      <c r="A982" s="44"/>
      <c r="B982" s="45"/>
      <c r="C982" s="46"/>
      <c r="D982" s="47"/>
    </row>
    <row r="983">
      <c r="A983" s="44"/>
      <c r="B983" s="45"/>
      <c r="C983" s="46"/>
      <c r="D983" s="47"/>
    </row>
    <row r="984">
      <c r="A984" s="44"/>
      <c r="B984" s="45"/>
      <c r="C984" s="46"/>
      <c r="D984" s="47"/>
    </row>
    <row r="985">
      <c r="A985" s="44"/>
      <c r="B985" s="45"/>
      <c r="C985" s="46"/>
      <c r="D985" s="47"/>
    </row>
    <row r="986">
      <c r="A986" s="44"/>
      <c r="B986" s="45"/>
      <c r="C986" s="46"/>
      <c r="D986" s="47"/>
    </row>
    <row r="987">
      <c r="A987" s="44"/>
      <c r="B987" s="45"/>
      <c r="C987" s="46"/>
      <c r="D987" s="47"/>
    </row>
    <row r="988">
      <c r="A988" s="44"/>
      <c r="B988" s="45"/>
      <c r="C988" s="46"/>
      <c r="D988" s="47"/>
    </row>
    <row r="989">
      <c r="A989" s="44"/>
      <c r="B989" s="45"/>
      <c r="C989" s="46"/>
      <c r="D989" s="47"/>
    </row>
    <row r="990">
      <c r="A990" s="44"/>
      <c r="B990" s="45"/>
      <c r="C990" s="46"/>
      <c r="D990" s="47"/>
    </row>
    <row r="991">
      <c r="A991" s="44"/>
      <c r="B991" s="45"/>
      <c r="C991" s="46"/>
      <c r="D991" s="47"/>
    </row>
    <row r="992">
      <c r="A992" s="44"/>
      <c r="B992" s="45"/>
      <c r="C992" s="46"/>
      <c r="D992" s="47"/>
    </row>
    <row r="993">
      <c r="A993" s="44"/>
      <c r="B993" s="45"/>
      <c r="C993" s="46"/>
      <c r="D993" s="47"/>
    </row>
    <row r="994">
      <c r="A994" s="44"/>
      <c r="B994" s="45"/>
      <c r="C994" s="46"/>
      <c r="D994" s="47"/>
    </row>
    <row r="995">
      <c r="A995" s="44"/>
      <c r="B995" s="45"/>
      <c r="C995" s="46"/>
      <c r="D995" s="47"/>
    </row>
    <row r="996">
      <c r="A996" s="44"/>
      <c r="B996" s="45"/>
      <c r="C996" s="46"/>
      <c r="D996" s="47"/>
    </row>
    <row r="997">
      <c r="A997" s="44"/>
      <c r="B997" s="45"/>
      <c r="C997" s="46"/>
      <c r="D997" s="47"/>
    </row>
    <row r="998">
      <c r="A998" s="44"/>
      <c r="B998" s="45"/>
      <c r="C998" s="46"/>
      <c r="D998" s="47"/>
    </row>
    <row r="999">
      <c r="A999" s="44"/>
      <c r="B999" s="45"/>
      <c r="C999" s="46"/>
      <c r="D999" s="47"/>
    </row>
    <row r="1000">
      <c r="A1000" s="44"/>
      <c r="B1000" s="45"/>
      <c r="C1000" s="46"/>
      <c r="D1000" s="47"/>
    </row>
    <row r="1001">
      <c r="A1001" s="44"/>
      <c r="B1001" s="45"/>
      <c r="C1001" s="46"/>
      <c r="D1001" s="47"/>
    </row>
  </sheetData>
  <drawing r:id="rId1"/>
</worksheet>
</file>